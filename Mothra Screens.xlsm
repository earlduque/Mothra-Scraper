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ou.ad3.ucdavis.edu\iet\Home Folders\eduque\Desktop\MothraScraper\"/>
    </mc:Choice>
  </mc:AlternateContent>
  <bookViews>
    <workbookView xWindow="0" yWindow="0" windowWidth="11535" windowHeight="10455"/>
  </bookViews>
  <sheets>
    <sheet name="Summary" sheetId="3" r:id="rId1"/>
    <sheet name="Last Search" sheetId="6" r:id="rId2"/>
    <sheet name="Screens" sheetId="1" r:id="rId3"/>
    <sheet name="Test Data" sheetId="4" state="hidden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3" l="1"/>
  <c r="H26" i="6"/>
  <c r="H9" i="6"/>
  <c r="C50" i="1"/>
  <c r="G12" i="3" s="1"/>
  <c r="C49" i="1"/>
  <c r="G11" i="3" s="1"/>
  <c r="C48" i="1"/>
  <c r="G10" i="3" s="1"/>
  <c r="C47" i="1"/>
  <c r="G9" i="3" s="1"/>
  <c r="C46" i="1"/>
  <c r="G8" i="3" s="1"/>
  <c r="C45" i="1"/>
  <c r="G7" i="3" s="1"/>
  <c r="C44" i="1"/>
  <c r="G6" i="3" s="1"/>
  <c r="C43" i="1"/>
  <c r="G5" i="3" s="1"/>
  <c r="C42" i="1"/>
  <c r="G4" i="3" s="1"/>
  <c r="C41" i="1"/>
  <c r="G3" i="3" s="1"/>
  <c r="B50" i="1"/>
  <c r="F12" i="3" s="1"/>
  <c r="B49" i="1"/>
  <c r="F11" i="3" s="1"/>
  <c r="B48" i="1"/>
  <c r="F10" i="3" s="1"/>
  <c r="B47" i="1"/>
  <c r="F9" i="3" s="1"/>
  <c r="B46" i="1"/>
  <c r="F8" i="3" s="1"/>
  <c r="B45" i="1"/>
  <c r="F7" i="3" s="1"/>
  <c r="B44" i="1"/>
  <c r="F6" i="3" s="1"/>
  <c r="B43" i="1"/>
  <c r="F5" i="3" s="1"/>
  <c r="B42" i="1"/>
  <c r="F4" i="3" s="1"/>
  <c r="B41" i="1"/>
  <c r="F3" i="3" s="1"/>
  <c r="B40" i="1"/>
  <c r="F2" i="3" s="1"/>
  <c r="D13" i="1"/>
  <c r="H25" i="6" l="1"/>
  <c r="C23" i="1"/>
  <c r="B25" i="1" s="1"/>
  <c r="C22" i="1"/>
  <c r="B24" i="1" s="1"/>
  <c r="C25" i="1"/>
  <c r="C24" i="1"/>
  <c r="B26" i="1" s="1"/>
  <c r="B20" i="3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D11" i="1"/>
  <c r="B7" i="1"/>
  <c r="B39" i="1"/>
  <c r="B37" i="1"/>
  <c r="C23" i="3" s="1"/>
  <c r="B38" i="1"/>
  <c r="C24" i="3" s="1"/>
  <c r="B36" i="1"/>
  <c r="E15" i="3" s="1"/>
  <c r="B35" i="1"/>
  <c r="E11" i="3" s="1"/>
  <c r="B34" i="1"/>
  <c r="E10" i="3" s="1"/>
  <c r="B33" i="1"/>
  <c r="E9" i="3" s="1"/>
  <c r="B32" i="1"/>
  <c r="E7" i="3" s="1"/>
  <c r="B29" i="1"/>
  <c r="B31" i="1"/>
  <c r="E5" i="3" s="1"/>
  <c r="B4" i="1"/>
  <c r="B30" i="1"/>
  <c r="E4" i="3" s="1"/>
  <c r="D12" i="1"/>
  <c r="D21" i="1"/>
  <c r="D20" i="1"/>
  <c r="D19" i="1"/>
  <c r="D18" i="1"/>
  <c r="D17" i="1"/>
  <c r="D16" i="1"/>
  <c r="D15" i="1"/>
  <c r="D14" i="1"/>
  <c r="D32" i="1"/>
  <c r="D31" i="1"/>
  <c r="D30" i="1"/>
  <c r="D29" i="1"/>
  <c r="D28" i="1"/>
  <c r="D27" i="1"/>
  <c r="D26" i="1"/>
  <c r="D25" i="1"/>
  <c r="H9" i="3" l="1"/>
  <c r="D22" i="1"/>
  <c r="B28" i="1" s="1"/>
  <c r="C25" i="3" s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6" i="1"/>
  <c r="C7" i="1"/>
  <c r="C19" i="3"/>
  <c r="C21" i="3"/>
  <c r="B23" i="1"/>
  <c r="B21" i="3"/>
  <c r="B22" i="1"/>
  <c r="B21" i="1"/>
  <c r="B20" i="1"/>
  <c r="B19" i="1"/>
  <c r="B18" i="1"/>
  <c r="B17" i="1"/>
  <c r="B16" i="1"/>
  <c r="B5" i="1"/>
  <c r="C6" i="3" s="1"/>
  <c r="B11" i="1"/>
  <c r="C10" i="3" s="1"/>
  <c r="B15" i="1"/>
  <c r="C15" i="3" s="1"/>
  <c r="B14" i="1"/>
  <c r="C14" i="3" s="1"/>
  <c r="B13" i="1"/>
  <c r="C12" i="3" s="1"/>
  <c r="B12" i="1"/>
  <c r="C11" i="3" s="1"/>
  <c r="B10" i="1"/>
  <c r="C9" i="3" s="1"/>
  <c r="B9" i="1"/>
  <c r="B8" i="1"/>
  <c r="B6" i="1"/>
  <c r="B2" i="1"/>
  <c r="C3" i="3" s="1"/>
  <c r="B3" i="1"/>
  <c r="C4" i="3" s="1"/>
  <c r="G24" i="3" l="1"/>
  <c r="G23" i="3"/>
  <c r="G18" i="3"/>
  <c r="G25" i="3"/>
  <c r="G19" i="3"/>
  <c r="G20" i="3"/>
  <c r="G21" i="3"/>
  <c r="G22" i="3"/>
  <c r="H26" i="3"/>
  <c r="B27" i="1"/>
  <c r="C18" i="3" s="1"/>
  <c r="C7" i="3"/>
  <c r="C20" i="3"/>
  <c r="E3" i="3"/>
  <c r="H25" i="3" l="1"/>
  <c r="E18" i="3" s="1"/>
</calcChain>
</file>

<file path=xl/sharedStrings.xml><?xml version="1.0" encoding="utf-8"?>
<sst xmlns="http://schemas.openxmlformats.org/spreadsheetml/2006/main" count="524" uniqueCount="242">
  <si>
    <t>P-Display People</t>
  </si>
  <si>
    <t>I-Display IDs</t>
  </si>
  <si>
    <t>A-Display LoginID</t>
  </si>
  <si>
    <t>F-Display MailID</t>
  </si>
  <si>
    <t>K-Display Lock</t>
  </si>
  <si>
    <t>L-Display DHCP Address</t>
  </si>
  <si>
    <t>V-Display Visitor Record</t>
  </si>
  <si>
    <t>O-List Owned Objects</t>
  </si>
  <si>
    <t>H-View Activity History</t>
  </si>
  <si>
    <t>N-List MothraIDs By Name</t>
  </si>
  <si>
    <t xml:space="preserve"> ------------------------------------------------------------------------------</t>
  </si>
  <si>
    <t xml:space="preserve"> MothraID: 01388797    (Visitor Record Also Exists)             Continue:   : :</t>
  </si>
  <si>
    <t>Type: Staff (S)             Status: Active (A)            (As Of: 07/06/17)</t>
  </si>
  <si>
    <t xml:space="preserve">                                                          Source: D</t>
  </si>
  <si>
    <t xml:space="preserve">       First: Earl</t>
  </si>
  <si>
    <t xml:space="preserve">      Middle: H                                 People Record Created: 07/06/17</t>
  </si>
  <si>
    <t xml:space="preserve">        Last: Duque                                           Expires:</t>
  </si>
  <si>
    <t xml:space="preserve">   Birthdate: 06/30/88                            Last Modified: 07/21/17 22:40</t>
  </si>
  <si>
    <t xml:space="preserve">                                                             By: MOTHRA</t>
  </si>
  <si>
    <t xml:space="preserve">     Major:                                                With: UpdateWkInfo</t>
  </si>
  <si>
    <t>Classlevel:</t>
  </si>
  <si>
    <t xml:space="preserve">     Title: 7558   BUS TCHL SUPP ANL 2</t>
  </si>
  <si>
    <t>Department: 061419 ENT APPS&amp;INFRASTRUCTURE SVCS</t>
  </si>
  <si>
    <t>Descrip:</t>
  </si>
  <si>
    <t>Remarks: 21-JUL-17:WkInfo 20-JUL-17:Names 20-JUL-17:Type X-&gt;S</t>
  </si>
  <si>
    <t xml:space="preserve"> 'a' Try Another, 'm' Return To Menu</t>
  </si>
  <si>
    <t xml:space="preserve">    MothraID: 01388797                                          Continue:   : :</t>
  </si>
  <si>
    <t xml:space="preserve"> Search As:   :M:</t>
  </si>
  <si>
    <t xml:space="preserve">        MothraID: 01388797                        Last Modified: 07/21/17 00:20</t>
  </si>
  <si>
    <t xml:space="preserve">       StudentID:                                            By: MOTHRA</t>
  </si>
  <si>
    <t xml:space="preserve">     Banner PIDM: 3274294                                  With: NullNetID</t>
  </si>
  <si>
    <t xml:space="preserve">      EmployeeID: 752222679</t>
  </si>
  <si>
    <t xml:space="preserve">        UC NetID: 1141048</t>
  </si>
  <si>
    <t xml:space="preserve">      ExternalID: 903127607</t>
  </si>
  <si>
    <t xml:space="preserve">          Source: UCOP Employee NetID (O)</t>
  </si>
  <si>
    <t xml:space="preserve">        ClientID:</t>
  </si>
  <si>
    <t xml:space="preserve">         Nametag: duque</t>
  </si>
  <si>
    <t xml:space="preserve">       Birthdate: 06/30/88</t>
  </si>
  <si>
    <t xml:space="preserve">             SSN: 608-44-8742</t>
  </si>
  <si>
    <t xml:space="preserve"> LoginID: eduque</t>
  </si>
  <si>
    <t xml:space="preserve">                                                                Continue:   : :</t>
  </si>
  <si>
    <t>Type: New-Style UCD (Z)     Status: Active (A)            (As Of: 07/06/17)</t>
  </si>
  <si>
    <t xml:space="preserve">   MothraID: 01388797</t>
  </si>
  <si>
    <t xml:space="preserve">       Name: Earl H Duque</t>
  </si>
  <si>
    <t>Remarks:</t>
  </si>
  <si>
    <t xml:space="preserve"> SERV  LOCALID             STATUS                       UnixUID: 832394</t>
  </si>
  <si>
    <t xml:space="preserve"> IDUO  eduque              Active</t>
  </si>
  <si>
    <t xml:space="preserve"> ISUN  eduque              Active               LoginID Created: 07/06/17</t>
  </si>
  <si>
    <t xml:space="preserve"> IMOT  eduque              Active                       Expires:</t>
  </si>
  <si>
    <t xml:space="preserve"> IKRB  eduque              Active</t>
  </si>
  <si>
    <t xml:space="preserve"> ILAB  eduque              Active                 Last Modified: 08/28/17 08:22</t>
  </si>
  <si>
    <t xml:space="preserve"> IMAD  eduque              Active                            By: owner</t>
  </si>
  <si>
    <t xml:space="preserve"> GAPP  eduque              Active                          With: webservices</t>
  </si>
  <si>
    <t xml:space="preserve"> EXCH  eduque              Active</t>
  </si>
  <si>
    <t xml:space="preserve"> 'd' Next, 'u' Prev, 'n' Next Screen, 'p' Prev Screen, 'q' End Display</t>
  </si>
  <si>
    <t xml:space="preserve"> MailID: eduque                                                 Continue:   : :</t>
  </si>
  <si>
    <t>Type: Personal (P)          Status: Active (A)            (As Of: 07/06/17)</t>
  </si>
  <si>
    <t xml:space="preserve">  Expand: Both (B)</t>
  </si>
  <si>
    <t>UserPart: eduque</t>
  </si>
  <si>
    <t>HostPart: ad3.ucdavis.edu</t>
  </si>
  <si>
    <t xml:space="preserve">                        MailID Created: 07/06/17  Last Modified: 07/06/17 15:54</t>
  </si>
  <si>
    <t xml:space="preserve">                               Expires:                      By: owner</t>
  </si>
  <si>
    <t xml:space="preserve">                                                           With: webservices</t>
  </si>
  <si>
    <t xml:space="preserve"> Lock: eduque                                                   Continue:   : :</t>
  </si>
  <si>
    <t>Type: General (G)           Status: Active (A)            (As Of: 07/06/17)</t>
  </si>
  <si>
    <t xml:space="preserve">                                                  Last Modified: 07/06/17 22:26</t>
  </si>
  <si>
    <t xml:space="preserve">                                                             By: mothra</t>
  </si>
  <si>
    <t xml:space="preserve">                                                           With: sweeplock</t>
  </si>
  <si>
    <t xml:space="preserve"> DHCP Address: .................                                Continue:   : :</t>
  </si>
  <si>
    <t>Type: ____________________  Status: ____________________  (As Of: __/__/__)</t>
  </si>
  <si>
    <t xml:space="preserve">   MothraID: ________</t>
  </si>
  <si>
    <t xml:space="preserve">       Name: ________________________________________________________________</t>
  </si>
  <si>
    <t xml:space="preserve"> Static Hostname: ____________________________________________________________</t>
  </si>
  <si>
    <t xml:space="preserve">         IP Addr: _______________</t>
  </si>
  <si>
    <t xml:space="preserve">                       DHCP Registered: __/__/__  Last Modified: __/__/__ __:__</t>
  </si>
  <si>
    <t xml:space="preserve">                               Expires: __/__/__             By: ____________</t>
  </si>
  <si>
    <t xml:space="preserve">                                                           With: ____________</t>
  </si>
  <si>
    <t xml:space="preserve"> Enter MAC Address</t>
  </si>
  <si>
    <t xml:space="preserve"> MothraID: 01388797                                             Continue:   : :</t>
  </si>
  <si>
    <t>Type: External (X)          Status: Going Away (G)        (As Of: 07/21/17)</t>
  </si>
  <si>
    <t xml:space="preserve">                                                          Source: C</t>
  </si>
  <si>
    <t xml:space="preserve">      Middle:                                  Visitor Record Created: 07/06/17</t>
  </si>
  <si>
    <t xml:space="preserve">        Last: Duque                                           Expires: 07/21/17</t>
  </si>
  <si>
    <t xml:space="preserve">                                                         Last Renewed:</t>
  </si>
  <si>
    <t xml:space="preserve">   Birthdate: 06/30/88</t>
  </si>
  <si>
    <t xml:space="preserve">                                                  Last Modified: 07/21/17 22:27</t>
  </si>
  <si>
    <t xml:space="preserve">   SponsorID: 00532552                                     With: sweeppers</t>
  </si>
  <si>
    <t xml:space="preserve">     Sponsor: Daniel Wright</t>
  </si>
  <si>
    <t>Descrip: Future Employee</t>
  </si>
  <si>
    <t xml:space="preserve"> KEY                              KIND                  INFO        Count: 9</t>
  </si>
  <si>
    <t>Duque, Earl H                     People Record         Staff (S)</t>
  </si>
  <si>
    <t>01388797                          Visitor Record        Sponsor: 00532552</t>
  </si>
  <si>
    <t>eduque                            LoginID               New-Style UCD (Z)</t>
  </si>
  <si>
    <t>eduque                            MailID                Personal (P)</t>
  </si>
  <si>
    <t>eduque                            Lock                  Locks: General (G)</t>
  </si>
  <si>
    <t>Through Fri Sep 01st 2017         Token                 Service Access (S)</t>
  </si>
  <si>
    <t xml:space="preserve">   Object: ................................</t>
  </si>
  <si>
    <t xml:space="preserve">                                                              Record Count: 19</t>
  </si>
  <si>
    <t>28-AUG-17 08:22 01388797 owner        webservices  INSERT   PERMITS</t>
  </si>
  <si>
    <t xml:space="preserve">                eduque</t>
  </si>
  <si>
    <t xml:space="preserve">                granted ISUN service</t>
  </si>
  <si>
    <t>27-AUG-17 09:10 01388797 harris       mothra       INSERT   TOKENS</t>
  </si>
  <si>
    <t xml:space="preserve">                granted ISUN service access token</t>
  </si>
  <si>
    <t xml:space="preserve">                granted IDVX service access token</t>
  </si>
  <si>
    <t xml:space="preserve">                granted ICON service access token</t>
  </si>
  <si>
    <t xml:space="preserve">                granted UNIX service access token</t>
  </si>
  <si>
    <t>Name:</t>
  </si>
  <si>
    <t>MothraID:</t>
  </si>
  <si>
    <t>Type:</t>
  </si>
  <si>
    <t>Status</t>
  </si>
  <si>
    <t>Status:</t>
  </si>
  <si>
    <t>Source:</t>
  </si>
  <si>
    <t>Major:</t>
  </si>
  <si>
    <t>Title:</t>
  </si>
  <si>
    <t>Department:</t>
  </si>
  <si>
    <t>MothraID</t>
  </si>
  <si>
    <t>Type</t>
  </si>
  <si>
    <t>Source</t>
  </si>
  <si>
    <t>First</t>
  </si>
  <si>
    <t>Middle</t>
  </si>
  <si>
    <t>Last</t>
  </si>
  <si>
    <t>Birthdate</t>
  </si>
  <si>
    <t>Major</t>
  </si>
  <si>
    <t>Classlevel</t>
  </si>
  <si>
    <t>Title</t>
  </si>
  <si>
    <t>Department</t>
  </si>
  <si>
    <t>Descrip</t>
  </si>
  <si>
    <t>Remarks</t>
  </si>
  <si>
    <t>StudentID:</t>
  </si>
  <si>
    <t>Banner PIDM:</t>
  </si>
  <si>
    <t>Banner PIDM</t>
  </si>
  <si>
    <t>EmployeeID:</t>
  </si>
  <si>
    <t>EmployeeID</t>
  </si>
  <si>
    <t>UC NetID</t>
  </si>
  <si>
    <t>ExternalID</t>
  </si>
  <si>
    <t>ClientID</t>
  </si>
  <si>
    <t>Nametag</t>
  </si>
  <si>
    <t>StudentID</t>
  </si>
  <si>
    <t>UC NetID:</t>
  </si>
  <si>
    <t>ExternalID:</t>
  </si>
  <si>
    <t>ClientID:</t>
  </si>
  <si>
    <t>Nametag:</t>
  </si>
  <si>
    <t>LoginID</t>
  </si>
  <si>
    <t>MailID</t>
  </si>
  <si>
    <t>Locks</t>
  </si>
  <si>
    <t>LoginID               Departmental (D)</t>
  </si>
  <si>
    <t>Departmental LoginIDs:</t>
  </si>
  <si>
    <t>LoginID:</t>
  </si>
  <si>
    <t>HELLO</t>
  </si>
  <si>
    <t>WORLD</t>
  </si>
  <si>
    <t>Permits</t>
  </si>
  <si>
    <t>Permits:</t>
  </si>
  <si>
    <t>Fields</t>
  </si>
  <si>
    <t>Values</t>
  </si>
  <si>
    <t>for O</t>
  </si>
  <si>
    <t>For A</t>
  </si>
  <si>
    <t>People ID</t>
  </si>
  <si>
    <t>Mail ID</t>
  </si>
  <si>
    <t>Name</t>
  </si>
  <si>
    <t>Expand</t>
  </si>
  <si>
    <t>Expand:</t>
  </si>
  <si>
    <t>UserPart:</t>
  </si>
  <si>
    <t>HostPart:</t>
  </si>
  <si>
    <t>UserPart</t>
  </si>
  <si>
    <t>HostPart</t>
  </si>
  <si>
    <t>IDs</t>
  </si>
  <si>
    <t>Owned Objects</t>
  </si>
  <si>
    <t>Mail ID:</t>
  </si>
  <si>
    <t>Personal(P)</t>
  </si>
  <si>
    <t>Active(A)</t>
  </si>
  <si>
    <t>Both (B)</t>
  </si>
  <si>
    <t>Locks:</t>
  </si>
  <si>
    <t/>
  </si>
  <si>
    <t>Comments</t>
  </si>
  <si>
    <t>MailIDs:</t>
  </si>
  <si>
    <t>Copy Screens</t>
  </si>
  <si>
    <t xml:space="preserve">                                                        Expires:</t>
  </si>
  <si>
    <t xml:space="preserve">                                                             By: owner</t>
  </si>
  <si>
    <t xml:space="preserve"> KEY                              KIND                  INFO        Count: 5</t>
  </si>
  <si>
    <t xml:space="preserve"> IDCA  eduque              Active</t>
  </si>
  <si>
    <t xml:space="preserve"> PRXY  eduque              Active               LoginID Created: 07/06/17</t>
  </si>
  <si>
    <t xml:space="preserve">                                                  Last Modified: 08/28/17 08:22</t>
  </si>
  <si>
    <t>Staff(S)</t>
  </si>
  <si>
    <t>D</t>
  </si>
  <si>
    <t>ad3.ucdavis.edu</t>
  </si>
  <si>
    <t>IT Express (C)</t>
  </si>
  <si>
    <t>25-AUG-17 10:38 01388797 owner        webservices  UPDATE   ACCOUNTS</t>
  </si>
  <si>
    <t xml:space="preserve">                changed password on IDCA (with kerberos)</t>
  </si>
  <si>
    <t>21-AUG-17 13:21 01388797 owner        webservices  INSERT   PERMITS</t>
  </si>
  <si>
    <t xml:space="preserve">                granted IDUO service</t>
  </si>
  <si>
    <t>21-AUG-17 08:18 01388797 sjbarkey     mothra       INSERT   PERMITS</t>
  </si>
  <si>
    <t xml:space="preserve">                granted service PRXY</t>
  </si>
  <si>
    <t xml:space="preserve">                granted service IDCA</t>
  </si>
  <si>
    <t>21-JUL-17 22:40 01388797 MOTHRA       UpdateWkInfo UPDATE   PEOPLE</t>
  </si>
  <si>
    <t xml:space="preserve">                WkInfo&lt;D Old:061419,none,none</t>
  </si>
  <si>
    <t>history1</t>
  </si>
  <si>
    <t>history2</t>
  </si>
  <si>
    <t>history3</t>
  </si>
  <si>
    <t>history4</t>
  </si>
  <si>
    <t>history5</t>
  </si>
  <si>
    <t>history6</t>
  </si>
  <si>
    <t>history7</t>
  </si>
  <si>
    <t>history8</t>
  </si>
  <si>
    <t>history9</t>
  </si>
  <si>
    <t>history10</t>
  </si>
  <si>
    <t>Record Count</t>
  </si>
  <si>
    <t xml:space="preserve"> </t>
  </si>
  <si>
    <t>created mailid</t>
  </si>
  <si>
    <t>a</t>
  </si>
  <si>
    <t>History (Last 10 of 26)</t>
  </si>
  <si>
    <t>00009744</t>
  </si>
  <si>
    <t>bfgurganus</t>
  </si>
  <si>
    <t xml:space="preserve">02-MAR-16 23:58 </t>
  </si>
  <si>
    <t>WkInfo&lt;D Old:027025,none,3570</t>
  </si>
  <si>
    <t xml:space="preserve">05-FEB-16 21:24 </t>
  </si>
  <si>
    <t>updated: hostpart userpart (was bfgurgan@ms12.ucdavis.edu)</t>
  </si>
  <si>
    <t xml:space="preserve">05-FEB-16 15:42 </t>
  </si>
  <si>
    <t>Granted EXCH service</t>
  </si>
  <si>
    <t xml:space="preserve">13-MAR-14 09:37 </t>
  </si>
  <si>
    <t>changed password on IMAD,GAPP,IKRB,IPOP,ILAB (with questions)</t>
  </si>
  <si>
    <t>Bruce F Gurganus</t>
  </si>
  <si>
    <t xml:space="preserve">12-MAR-14 22:37 </t>
  </si>
  <si>
    <t>from C</t>
  </si>
  <si>
    <t xml:space="preserve">12-MAR-14 17:24 </t>
  </si>
  <si>
    <t>caught up IKRB,IPOP,ILAB,IMAD,GAPP</t>
  </si>
  <si>
    <t>created loginid</t>
  </si>
  <si>
    <t>bfgurgan</t>
  </si>
  <si>
    <t>3570   TEACHER-UNEX-CONTRACT YR</t>
  </si>
  <si>
    <t>ID verification questions set</t>
  </si>
  <si>
    <t>027025 UNIVERSITY EXTENSION</t>
  </si>
  <si>
    <t xml:space="preserve">12-MAR-14 15:53 </t>
  </si>
  <si>
    <t>updated PAF information</t>
  </si>
  <si>
    <t>02-MAR-16:WkInfo 22-JAN-14:Status A-&gt;G 23-FEB-97:WkInfo 22-FEB-97:Stat</t>
  </si>
  <si>
    <t xml:space="preserve">PeopleID Status Not Active, </t>
  </si>
  <si>
    <t>992308852</t>
  </si>
  <si>
    <t>1640513</t>
  </si>
  <si>
    <t xml:space="preserve">bfgurganus, </t>
  </si>
  <si>
    <t>134152487</t>
  </si>
  <si>
    <t xml:space="preserve">bfgurgan, bfgurganus, </t>
  </si>
  <si>
    <t>45901</t>
  </si>
  <si>
    <t xml:space="preserve">EXCH (Active), IMAD (Active), GAPP (Active), IKRB (Active), IPOP (Active), ILAB (Active), </t>
  </si>
  <si>
    <t>gurganus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</si>
</sst>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97">
    <xf numFmtId="0" fontId="0" fillId="0" borderId="0" xfId="0"/>
    <xf numFmtId="0" fontId="0" fillId="0" borderId="2" xfId="0" applyBorder="1" applyAlignment="1"/>
    <xf numFmtId="0" fontId="0" fillId="0" borderId="4" xfId="0" applyBorder="1" applyAlignment="1"/>
    <xf numFmtId="0" fontId="1" fillId="0" borderId="7" xfId="0" applyFont="1" applyBorder="1"/>
    <xf numFmtId="0" fontId="1" fillId="0" borderId="8" xfId="0" applyFont="1" applyBorder="1"/>
    <xf numFmtId="0" fontId="1" fillId="0" borderId="8" xfId="0" applyFont="1" applyBorder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2" borderId="0" xfId="0" applyFill="1" applyBorder="1"/>
    <xf numFmtId="0" fontId="0" fillId="3" borderId="1" xfId="0" applyFont="1" applyFill="1" applyBorder="1" applyAlignment="1">
      <alignment horizontal="center" vertical="center"/>
    </xf>
    <xf numFmtId="0" fontId="0" fillId="0" borderId="0" xfId="0" applyBorder="1"/>
    <xf numFmtId="0" fontId="0" fillId="0" borderId="4" xfId="0" applyBorder="1"/>
    <xf numFmtId="0" fontId="0" fillId="3" borderId="10" xfId="0" applyFont="1" applyFill="1" applyBorder="1" applyAlignment="1">
      <alignment horizontal="center" vertical="center"/>
    </xf>
    <xf numFmtId="0" fontId="3" fillId="0" borderId="12" xfId="0" applyFont="1" applyBorder="1" applyAlignment="1">
      <alignment horizontal="left" vertical="top" wrapText="1"/>
    </xf>
    <xf numFmtId="0" fontId="3" fillId="0" borderId="13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left" vertical="top"/>
    </xf>
    <xf numFmtId="0" fontId="1" fillId="0" borderId="9" xfId="0" applyFont="1" applyBorder="1" applyAlignment="1">
      <alignment horizontal="left" vertical="top"/>
    </xf>
    <xf numFmtId="0" fontId="0" fillId="0" borderId="12" xfId="0" applyBorder="1" applyAlignment="1">
      <alignment horizontal="left" vertical="top" wrapText="1"/>
    </xf>
    <xf numFmtId="0" fontId="1" fillId="0" borderId="8" xfId="0" applyFont="1" applyBorder="1" applyAlignment="1">
      <alignment horizontal="left" vertical="top" wrapText="1"/>
    </xf>
    <xf numFmtId="0" fontId="0" fillId="3" borderId="10" xfId="0" applyFont="1" applyFill="1" applyBorder="1" applyAlignment="1">
      <alignment horizontal="center" vertical="top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0" borderId="0" xfId="0" applyBorder="1" applyAlignment="1">
      <alignment horizontal="left" vertical="top" wrapText="1"/>
    </xf>
    <xf numFmtId="0" fontId="0" fillId="0" borderId="18" xfId="0" applyBorder="1" applyAlignment="1">
      <alignment horizontal="left" vertical="top" wrapText="1"/>
    </xf>
    <xf numFmtId="0" fontId="0" fillId="3" borderId="10" xfId="0" applyFont="1" applyFill="1" applyBorder="1" applyAlignment="1">
      <alignment horizontal="center"/>
    </xf>
    <xf numFmtId="0" fontId="0" fillId="3" borderId="19" xfId="0" applyFont="1" applyFill="1" applyBorder="1" applyAlignment="1">
      <alignment horizontal="center"/>
    </xf>
    <xf numFmtId="49" fontId="0" fillId="0" borderId="3" xfId="0" applyNumberFormat="1" applyFont="1" applyBorder="1" applyAlignment="1">
      <alignment horizontal="center" vertical="center"/>
    </xf>
    <xf numFmtId="49" fontId="0" fillId="0" borderId="5" xfId="0" applyNumberFormat="1" applyFont="1" applyBorder="1" applyAlignment="1">
      <alignment horizontal="center" vertical="center"/>
    </xf>
    <xf numFmtId="0" fontId="0" fillId="0" borderId="3" xfId="0" applyBorder="1"/>
    <xf numFmtId="0" fontId="0" fillId="0" borderId="6" xfId="0" applyBorder="1"/>
    <xf numFmtId="0" fontId="0" fillId="0" borderId="4" xfId="0" applyBorder="1" applyAlignment="1">
      <alignment vertical="top" wrapText="1"/>
    </xf>
    <xf numFmtId="0" fontId="0" fillId="0" borderId="14" xfId="0" applyBorder="1" applyAlignment="1"/>
    <xf numFmtId="0" fontId="0" fillId="0" borderId="15" xfId="0" applyBorder="1" applyAlignment="1"/>
    <xf numFmtId="0" fontId="0" fillId="0" borderId="16" xfId="0" applyBorder="1" applyAlignment="1"/>
    <xf numFmtId="0" fontId="0" fillId="0" borderId="0" xfId="0" applyBorder="1" applyAlignment="1"/>
    <xf numFmtId="0" fontId="0" fillId="0" borderId="0" xfId="0" applyBorder="1" applyAlignment="1"/>
    <xf numFmtId="0" fontId="0" fillId="0" borderId="17" xfId="0" applyBorder="1" applyAlignment="1"/>
    <xf numFmtId="0" fontId="0" fillId="0" borderId="18" xfId="0" applyBorder="1" applyAlignment="1"/>
    <xf numFmtId="0" fontId="1" fillId="0" borderId="8" xfId="0" applyFont="1" applyBorder="1" applyAlignment="1">
      <alignment vertical="top"/>
    </xf>
    <xf numFmtId="0" fontId="1" fillId="0" borderId="9" xfId="0" applyFont="1" applyBorder="1" applyAlignment="1">
      <alignment vertical="top"/>
    </xf>
    <xf numFmtId="0" fontId="0" fillId="0" borderId="16" xfId="0" applyBorder="1" applyAlignment="1">
      <alignment horizontal="left" vertical="top" wrapText="1"/>
    </xf>
    <xf numFmtId="0" fontId="0" fillId="0" borderId="17" xfId="0" applyBorder="1" applyAlignment="1">
      <alignment horizontal="left" vertical="top" wrapText="1"/>
    </xf>
    <xf numFmtId="0" fontId="0" fillId="3" borderId="11" xfId="0" applyFont="1" applyFill="1" applyBorder="1" applyAlignment="1">
      <alignment horizontal="center" vertical="top"/>
    </xf>
    <xf numFmtId="0" fontId="0" fillId="0" borderId="3" xfId="0" applyFont="1" applyBorder="1" applyAlignment="1">
      <alignment vertical="center" wrapText="1"/>
    </xf>
    <xf numFmtId="0" fontId="0" fillId="0" borderId="20" xfId="0" applyFont="1" applyBorder="1" applyAlignment="1">
      <alignment horizontal="center" vertical="center" wrapText="1"/>
    </xf>
    <xf numFmtId="0" fontId="0" fillId="0" borderId="3" xfId="0" applyFont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0" fillId="0" borderId="5" xfId="0" applyBorder="1" applyAlignment="1">
      <alignment vertical="top" wrapText="1"/>
    </xf>
    <xf numFmtId="0" fontId="0" fillId="0" borderId="8" xfId="0" applyBorder="1"/>
    <xf numFmtId="0" fontId="0" fillId="0" borderId="9" xfId="0" applyBorder="1"/>
    <xf numFmtId="0" fontId="0" fillId="0" borderId="0" xfId="0" applyFont="1" applyBorder="1" applyAlignment="1">
      <alignment vertical="center" wrapText="1"/>
    </xf>
    <xf numFmtId="0" fontId="0" fillId="0" borderId="3" xfId="0" applyBorder="1" applyAlignment="1"/>
    <xf numFmtId="0" fontId="0" fillId="0" borderId="4" xfId="0" applyBorder="1" applyAlignment="1">
      <alignment vertical="top"/>
    </xf>
    <xf numFmtId="49" fontId="0" fillId="3" borderId="10" xfId="0" applyNumberFormat="1" applyFill="1" applyBorder="1" applyAlignment="1">
      <alignment horizontal="center"/>
    </xf>
    <xf numFmtId="49" fontId="0" fillId="3" borderId="11" xfId="0" applyNumberFormat="1" applyFill="1" applyBorder="1" applyAlignment="1">
      <alignment horizontal="center"/>
    </xf>
    <xf numFmtId="49" fontId="0" fillId="0" borderId="2" xfId="0" applyNumberFormat="1" applyBorder="1" applyAlignment="1"/>
    <xf numFmtId="49" fontId="0" fillId="0" borderId="3" xfId="0" applyNumberFormat="1" applyBorder="1" applyAlignment="1"/>
    <xf numFmtId="49" fontId="1" fillId="0" borderId="8" xfId="0" applyNumberFormat="1" applyFont="1" applyBorder="1" applyAlignment="1">
      <alignment horizontal="left"/>
    </xf>
    <xf numFmtId="49" fontId="0" fillId="0" borderId="4" xfId="0" applyNumberFormat="1" applyBorder="1" applyAlignment="1"/>
    <xf numFmtId="49" fontId="0" fillId="0" borderId="4" xfId="0" applyNumberFormat="1" applyBorder="1" applyAlignment="1">
      <alignment vertical="top"/>
    </xf>
    <xf numFmtId="49" fontId="1" fillId="0" borderId="8" xfId="0" applyNumberFormat="1" applyFont="1" applyBorder="1" applyAlignment="1">
      <alignment horizontal="left" vertical="top"/>
    </xf>
    <xf numFmtId="49" fontId="1" fillId="0" borderId="9" xfId="0" applyNumberFormat="1" applyFont="1" applyBorder="1" applyAlignment="1">
      <alignment horizontal="left" vertical="top"/>
    </xf>
    <xf numFmtId="49" fontId="0" fillId="3" borderId="10" xfId="0" applyNumberFormat="1" applyFont="1" applyFill="1" applyBorder="1" applyAlignment="1">
      <alignment horizontal="center"/>
    </xf>
    <xf numFmtId="49" fontId="0" fillId="3" borderId="19" xfId="0" applyNumberFormat="1" applyFont="1" applyFill="1" applyBorder="1" applyAlignment="1">
      <alignment horizontal="center"/>
    </xf>
    <xf numFmtId="49" fontId="0" fillId="3" borderId="1" xfId="0" applyNumberFormat="1" applyFont="1" applyFill="1" applyBorder="1" applyAlignment="1">
      <alignment horizontal="center" vertical="center"/>
    </xf>
    <xf numFmtId="49" fontId="0" fillId="3" borderId="10" xfId="0" applyNumberFormat="1" applyFont="1" applyFill="1" applyBorder="1" applyAlignment="1">
      <alignment horizontal="center" vertical="top"/>
    </xf>
    <xf numFmtId="49" fontId="0" fillId="3" borderId="11" xfId="0" applyNumberFormat="1" applyFont="1" applyFill="1" applyBorder="1" applyAlignment="1">
      <alignment horizontal="center" vertical="top"/>
    </xf>
    <xf numFmtId="49" fontId="0" fillId="0" borderId="14" xfId="0" applyNumberFormat="1" applyBorder="1" applyAlignment="1"/>
    <xf numFmtId="49" fontId="0" fillId="0" borderId="15" xfId="0" applyNumberFormat="1" applyBorder="1" applyAlignment="1"/>
    <xf numFmtId="49" fontId="0" fillId="0" borderId="16" xfId="0" applyNumberFormat="1" applyBorder="1" applyAlignment="1"/>
    <xf numFmtId="49" fontId="0" fillId="0" borderId="0" xfId="0" applyNumberFormat="1" applyBorder="1" applyAlignment="1"/>
    <xf numFmtId="49" fontId="0" fillId="0" borderId="17" xfId="0" applyNumberFormat="1" applyBorder="1" applyAlignment="1"/>
    <xf numFmtId="49" fontId="0" fillId="0" borderId="18" xfId="0" applyNumberFormat="1" applyBorder="1" applyAlignment="1"/>
    <xf numFmtId="49" fontId="0" fillId="3" borderId="10" xfId="0" applyNumberFormat="1" applyFont="1" applyFill="1" applyBorder="1" applyAlignment="1">
      <alignment horizontal="center" vertical="center"/>
    </xf>
    <xf numFmtId="49" fontId="1" fillId="0" borderId="8" xfId="0" applyNumberFormat="1" applyFont="1" applyBorder="1" applyAlignment="1">
      <alignment vertical="top"/>
    </xf>
    <xf numFmtId="49" fontId="1" fillId="0" borderId="9" xfId="0" applyNumberFormat="1" applyFont="1" applyBorder="1" applyAlignment="1">
      <alignment vertical="top"/>
    </xf>
    <xf numFmtId="0" fontId="0" fillId="2" borderId="0" xfId="0" applyFill="1" applyAlignment="1"/>
    <xf numFmtId="0" fontId="0" fillId="0" borderId="0" xfId="0" applyAlignment="1"/>
    <xf numFmtId="49" fontId="1" fillId="0" borderId="7" xfId="0" applyNumberFormat="1" applyFont="1" applyBorder="1" applyAlignment="1"/>
    <xf numFmtId="49" fontId="1" fillId="0" borderId="8" xfId="0" applyNumberFormat="1" applyFont="1" applyBorder="1" applyAlignment="1"/>
    <xf numFmtId="49" fontId="0" fillId="0" borderId="12" xfId="0" applyNumberFormat="1" applyBorder="1" applyAlignment="1">
      <alignment horizontal="left" vertical="top"/>
    </xf>
    <xf numFmtId="49" fontId="3" fillId="0" borderId="12" xfId="0" applyNumberFormat="1" applyFont="1" applyBorder="1" applyAlignment="1">
      <alignment horizontal="left" vertical="top"/>
    </xf>
    <xf numFmtId="49" fontId="3" fillId="0" borderId="13" xfId="0" applyNumberFormat="1" applyFont="1" applyBorder="1" applyAlignment="1">
      <alignment horizontal="left" vertical="top"/>
    </xf>
    <xf numFmtId="49" fontId="0" fillId="0" borderId="20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vertical="center"/>
    </xf>
    <xf numFmtId="49" fontId="0" fillId="0" borderId="16" xfId="0" applyNumberFormat="1" applyBorder="1" applyAlignment="1">
      <alignment horizontal="left" vertical="top"/>
    </xf>
    <xf numFmtId="49" fontId="0" fillId="0" borderId="0" xfId="0" applyNumberFormat="1" applyBorder="1" applyAlignment="1">
      <alignment horizontal="left" vertical="top"/>
    </xf>
    <xf numFmtId="49" fontId="0" fillId="0" borderId="8" xfId="0" applyNumberFormat="1" applyBorder="1" applyAlignment="1"/>
    <xf numFmtId="49" fontId="0" fillId="0" borderId="17" xfId="0" applyNumberFormat="1" applyBorder="1" applyAlignment="1">
      <alignment horizontal="left" vertical="top"/>
    </xf>
    <xf numFmtId="49" fontId="0" fillId="0" borderId="18" xfId="0" applyNumberFormat="1" applyBorder="1" applyAlignment="1">
      <alignment horizontal="left" vertical="top"/>
    </xf>
    <xf numFmtId="49" fontId="0" fillId="0" borderId="5" xfId="0" applyNumberFormat="1" applyBorder="1" applyAlignment="1">
      <alignment vertical="top"/>
    </xf>
    <xf numFmtId="49" fontId="0" fillId="0" borderId="9" xfId="0" applyNumberFormat="1" applyBorder="1" applyAlignment="1"/>
    <xf numFmtId="49" fontId="0" fillId="0" borderId="6" xfId="0" applyNumberFormat="1" applyBorder="1" applyAlignment="1"/>
    <xf numFmtId="0" fontId="0" fillId="2" borderId="0" xfId="0" applyFill="1" applyBorder="1" applyAlignment="1"/>
    <xf numFmtId="0" fontId="0" fillId="0" borderId="0" xfId="0" applyFont="1" applyBorder="1" applyAlignment="1">
      <alignment vertical="center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C00"/>
      <color rgb="FFFF99CC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47"/>
  <sheetViews>
    <sheetView tabSelected="1" zoomScale="85" zoomScaleNormal="85" workbookViewId="0">
      <selection activeCell="C11" sqref="C11"/>
    </sheetView>
  </sheetViews>
  <sheetFormatPr defaultColWidth="0" defaultRowHeight="15" zeroHeight="1" x14ac:dyDescent="0.25"/>
  <cols>
    <col min="1" max="1" width="3.42578125" customWidth="1"/>
    <col min="2" max="2" width="22.5703125" bestFit="1" customWidth="1"/>
    <col min="3" max="3" width="34.28515625" customWidth="1"/>
    <col min="4" max="4" width="22.5703125" bestFit="1" customWidth="1"/>
    <col min="5" max="5" width="25.140625" customWidth="1"/>
    <col min="6" max="6" width="15.42578125" customWidth="1"/>
    <col min="7" max="7" width="37.42578125" customWidth="1"/>
    <col min="8" max="8" width="6.140625" hidden="1" customWidth="1"/>
    <col min="9" max="9" width="3.42578125" customWidth="1"/>
    <col min="10" max="16384" width="9.140625" hidden="1"/>
  </cols>
  <sheetData>
    <row r="1" spans="1:9" ht="15.75" thickBot="1" x14ac:dyDescent="0.3">
      <c r="A1" s="7"/>
      <c r="B1" s="7"/>
      <c r="C1" s="7"/>
      <c r="D1" s="7"/>
      <c r="E1" s="7"/>
      <c r="F1" s="7"/>
      <c r="G1" s="7"/>
      <c r="H1" s="7"/>
      <c r="I1" s="7"/>
    </row>
    <row r="2" spans="1:9" ht="15.75" thickBot="1" x14ac:dyDescent="0.3">
      <c r="A2" s="7"/>
      <c r="B2" s="22" t="s">
        <v>156</v>
      </c>
      <c r="C2" s="23"/>
      <c r="D2" s="22" t="s">
        <v>157</v>
      </c>
      <c r="E2" s="23"/>
      <c r="F2" s="22" t="str">
        <f>"History (Last 10 of "&amp;Screens!B40&amp;")"</f>
        <v>History (Last 10 of 19)</v>
      </c>
      <c r="G2" s="23"/>
      <c r="H2" s="7"/>
      <c r="I2" s="7"/>
    </row>
    <row r="3" spans="1:9" x14ac:dyDescent="0.25">
      <c r="A3" s="7"/>
      <c r="B3" s="3" t="s">
        <v>107</v>
      </c>
      <c r="C3" s="1" t="str">
        <f>Screens!B2</f>
        <v>01388797</v>
      </c>
      <c r="D3" s="3" t="s">
        <v>167</v>
      </c>
      <c r="E3" s="1" t="str">
        <f>Screens!B39</f>
        <v>eduque</v>
      </c>
      <c r="F3" s="30" t="str">
        <f>Screens!B41</f>
        <v xml:space="preserve">28-AUG-17 08:22 </v>
      </c>
      <c r="G3" s="32" t="str">
        <f>IF(ISERROR(Screens!C41),"",Screens!C41)</f>
        <v>granted ISUN service</v>
      </c>
      <c r="H3" s="7"/>
      <c r="I3" s="7" t="s">
        <v>206</v>
      </c>
    </row>
    <row r="4" spans="1:9" x14ac:dyDescent="0.25">
      <c r="A4" s="7"/>
      <c r="B4" s="4" t="s">
        <v>108</v>
      </c>
      <c r="C4" s="13" t="str">
        <f>Screens!B3</f>
        <v>Staff(S)</v>
      </c>
      <c r="D4" s="4" t="s">
        <v>108</v>
      </c>
      <c r="E4" s="13" t="str">
        <f>Screens!B30</f>
        <v>Personal(P)</v>
      </c>
      <c r="F4" s="53" t="str">
        <f>Screens!B42</f>
        <v xml:space="preserve">27-AUG-17 09:10 </v>
      </c>
      <c r="G4" s="32" t="str">
        <f>IF(ISERROR(Screens!C42),"",Screens!C42)</f>
        <v>granted ISUN service access token</v>
      </c>
      <c r="H4" s="7"/>
      <c r="I4" s="7" t="s">
        <v>206</v>
      </c>
    </row>
    <row r="5" spans="1:9" x14ac:dyDescent="0.25">
      <c r="A5" s="7"/>
      <c r="B5" s="5" t="s">
        <v>110</v>
      </c>
      <c r="C5" s="13" t="str">
        <f>Screens!B4</f>
        <v>Active(A)</v>
      </c>
      <c r="D5" s="5" t="s">
        <v>110</v>
      </c>
      <c r="E5" s="13" t="str">
        <f>Screens!B31</f>
        <v>Active(A)</v>
      </c>
      <c r="F5" s="53" t="str">
        <f>Screens!B43</f>
        <v xml:space="preserve">27-AUG-17 09:10 </v>
      </c>
      <c r="G5" s="32" t="str">
        <f>IF(ISERROR(Screens!C43),"",Screens!C43)</f>
        <v>granted IDVX service access token</v>
      </c>
      <c r="H5" s="7"/>
      <c r="I5" s="7" t="s">
        <v>206</v>
      </c>
    </row>
    <row r="6" spans="1:9" x14ac:dyDescent="0.25">
      <c r="A6" s="7"/>
      <c r="B6" s="5" t="s">
        <v>111</v>
      </c>
      <c r="C6" s="13" t="str">
        <f>Screens!B5</f>
        <v>D</v>
      </c>
      <c r="D6" s="5"/>
      <c r="E6" s="13"/>
      <c r="F6" s="53" t="str">
        <f>Screens!B44</f>
        <v xml:space="preserve">27-AUG-17 09:10 </v>
      </c>
      <c r="G6" s="32" t="str">
        <f>IF(ISERROR(Screens!C44),"",Screens!C44)</f>
        <v>granted ICON service access token</v>
      </c>
      <c r="H6" s="7"/>
      <c r="I6" s="7" t="s">
        <v>206</v>
      </c>
    </row>
    <row r="7" spans="1:9" x14ac:dyDescent="0.25">
      <c r="A7" s="7"/>
      <c r="B7" s="4" t="s">
        <v>106</v>
      </c>
      <c r="C7" s="2" t="str">
        <f>Screens!B6&amp;IF(Screens!B7="",""," "&amp;Screens!B7)&amp;" "&amp;Screens!B8</f>
        <v>Earl H Duque</v>
      </c>
      <c r="D7" s="4" t="s">
        <v>106</v>
      </c>
      <c r="E7" s="2" t="str">
        <f>Screens!B32</f>
        <v>Earl H Duque</v>
      </c>
      <c r="F7" s="53" t="str">
        <f>Screens!B45</f>
        <v xml:space="preserve">27-AUG-17 09:10 </v>
      </c>
      <c r="G7" s="32" t="str">
        <f>IF(ISERROR(Screens!C45),"",Screens!C45)</f>
        <v>granted UNIX service access token</v>
      </c>
      <c r="H7" s="7"/>
      <c r="I7" s="7" t="s">
        <v>206</v>
      </c>
    </row>
    <row r="8" spans="1:9" x14ac:dyDescent="0.25">
      <c r="A8" s="7"/>
      <c r="B8" s="4"/>
      <c r="C8" s="2"/>
      <c r="D8" s="4"/>
      <c r="E8" s="2"/>
      <c r="F8" s="53" t="str">
        <f>Screens!B46</f>
        <v xml:space="preserve">25-AUG-17 10:38 </v>
      </c>
      <c r="G8" s="32" t="str">
        <f>IF(ISERROR(Screens!C46),"",Screens!C46)</f>
        <v>changed password on IDCA (with kerberos)</v>
      </c>
      <c r="H8" s="7"/>
      <c r="I8" s="7" t="s">
        <v>206</v>
      </c>
    </row>
    <row r="9" spans="1:9" x14ac:dyDescent="0.25">
      <c r="A9" s="7"/>
      <c r="B9" s="4" t="s">
        <v>112</v>
      </c>
      <c r="C9" s="2" t="str">
        <f>IF(ISERROR(Screens!B10),"",Screens!B10)</f>
        <v/>
      </c>
      <c r="D9" s="4" t="s">
        <v>160</v>
      </c>
      <c r="E9" s="2" t="str">
        <f>Screens!B33</f>
        <v>Both (B)</v>
      </c>
      <c r="F9" s="53" t="str">
        <f>Screens!B47</f>
        <v xml:space="preserve">21-AUG-17 13:21 </v>
      </c>
      <c r="G9" s="32" t="str">
        <f>IF(ISERROR(Screens!C47),"",Screens!C47)</f>
        <v>granted IDUO service</v>
      </c>
      <c r="H9" s="7" t="b">
        <f>IF(E9&lt;&gt;"Both (B)",TRUE,FALSE)</f>
        <v>0</v>
      </c>
      <c r="I9" s="7" t="s">
        <v>206</v>
      </c>
    </row>
    <row r="10" spans="1:9" x14ac:dyDescent="0.25">
      <c r="A10" s="7"/>
      <c r="B10" s="4" t="s">
        <v>20</v>
      </c>
      <c r="C10" s="2" t="str">
        <f>IF(ISERROR(Screens!B11),"",Screens!B11)</f>
        <v/>
      </c>
      <c r="D10" s="4" t="s">
        <v>161</v>
      </c>
      <c r="E10" s="2" t="str">
        <f>Screens!B34</f>
        <v>eduque</v>
      </c>
      <c r="F10" s="53" t="str">
        <f>Screens!B48</f>
        <v xml:space="preserve">21-AUG-17 08:18 </v>
      </c>
      <c r="G10" s="32" t="str">
        <f>IF(ISERROR(Screens!C48),"",Screens!C48)</f>
        <v>granted service PRXY</v>
      </c>
      <c r="H10" s="7"/>
      <c r="I10" s="7" t="s">
        <v>206</v>
      </c>
    </row>
    <row r="11" spans="1:9" ht="15" customHeight="1" x14ac:dyDescent="0.25">
      <c r="A11" s="7"/>
      <c r="B11" s="4" t="s">
        <v>113</v>
      </c>
      <c r="C11" s="2" t="str">
        <f>IF(ISERROR(Screens!B12),"",Screens!B12)</f>
        <v>7558   BUS TCHL SUPP ANL 2</v>
      </c>
      <c r="D11" s="4" t="s">
        <v>162</v>
      </c>
      <c r="E11" s="2" t="str">
        <f>Screens!B35</f>
        <v>ad3.ucdavis.edu</v>
      </c>
      <c r="F11" s="53" t="str">
        <f>Screens!B49</f>
        <v xml:space="preserve">21-AUG-17 08:18 </v>
      </c>
      <c r="G11" s="32" t="str">
        <f>IF(ISERROR(Screens!C49),"",Screens!C49)</f>
        <v>granted service IDCA</v>
      </c>
      <c r="H11" s="7"/>
      <c r="I11" s="7" t="s">
        <v>206</v>
      </c>
    </row>
    <row r="12" spans="1:9" x14ac:dyDescent="0.25">
      <c r="A12" s="7"/>
      <c r="B12" s="20" t="s">
        <v>114</v>
      </c>
      <c r="C12" s="19" t="str">
        <f>IF(ISERROR(Screens!B13),"",Screens!B13)</f>
        <v>061419 ENT APPS&amp;INFRASTRUCTURE SVCS</v>
      </c>
      <c r="D12" s="4"/>
      <c r="E12" s="2"/>
      <c r="F12" s="53" t="str">
        <f>Screens!B50</f>
        <v xml:space="preserve">21-JUL-17 22:40 </v>
      </c>
      <c r="G12" s="32" t="str">
        <f>IF(ISERROR(Screens!C50),"",Screens!C50)</f>
        <v>WkInfo&lt;D Old:061419,none,none</v>
      </c>
      <c r="H12" s="7"/>
      <c r="I12" s="7" t="s">
        <v>206</v>
      </c>
    </row>
    <row r="13" spans="1:9" x14ac:dyDescent="0.25">
      <c r="A13" s="7"/>
      <c r="B13" s="20"/>
      <c r="C13" s="19"/>
      <c r="D13" s="4"/>
      <c r="E13" s="2"/>
      <c r="F13" s="53"/>
      <c r="G13" s="54"/>
      <c r="H13" s="7"/>
      <c r="I13" s="7" t="s">
        <v>206</v>
      </c>
    </row>
    <row r="14" spans="1:9" x14ac:dyDescent="0.25">
      <c r="A14" s="7"/>
      <c r="B14" s="4" t="s">
        <v>23</v>
      </c>
      <c r="C14" s="2" t="str">
        <f>IF(ISERROR(Screens!B14),"",Screens!B14)</f>
        <v/>
      </c>
      <c r="D14" s="4"/>
      <c r="E14" s="2"/>
      <c r="F14" s="53"/>
      <c r="G14" s="54"/>
      <c r="H14" s="7"/>
      <c r="I14" s="7" t="s">
        <v>206</v>
      </c>
    </row>
    <row r="15" spans="1:9" x14ac:dyDescent="0.25">
      <c r="A15" s="7"/>
      <c r="B15" s="17" t="s">
        <v>44</v>
      </c>
      <c r="C15" s="15" t="str">
        <f>IF(ISERROR(Screens!B15),"",Screens!B15)</f>
        <v>21-JUL-17:WkInfo 20-JUL-17:Names 20-JUL-17:Type X-&gt;S</v>
      </c>
      <c r="D15" s="17" t="s">
        <v>44</v>
      </c>
      <c r="E15" s="15" t="str">
        <f>IF(ISERROR(Screens!B36),"",Screens!B36)</f>
        <v/>
      </c>
      <c r="F15" s="53"/>
      <c r="G15" s="54"/>
      <c r="H15" s="7"/>
      <c r="I15" s="7" t="s">
        <v>206</v>
      </c>
    </row>
    <row r="16" spans="1:9" ht="15.75" thickBot="1" x14ac:dyDescent="0.3">
      <c r="A16" s="7"/>
      <c r="B16" s="18"/>
      <c r="C16" s="16"/>
      <c r="D16" s="18"/>
      <c r="E16" s="16"/>
      <c r="F16" s="30"/>
      <c r="G16" s="32"/>
      <c r="H16" s="7"/>
      <c r="I16" s="7"/>
    </row>
    <row r="17" spans="1:9" ht="15.75" customHeight="1" thickBot="1" x14ac:dyDescent="0.3">
      <c r="A17" s="7"/>
      <c r="B17" s="26" t="s">
        <v>166</v>
      </c>
      <c r="C17" s="27"/>
      <c r="D17" s="27"/>
      <c r="E17" s="11" t="s">
        <v>173</v>
      </c>
      <c r="F17" s="21" t="s">
        <v>165</v>
      </c>
      <c r="G17" s="44"/>
      <c r="H17" s="7"/>
      <c r="I17" s="7"/>
    </row>
    <row r="18" spans="1:9" x14ac:dyDescent="0.25">
      <c r="A18" s="7"/>
      <c r="B18" s="3" t="s">
        <v>147</v>
      </c>
      <c r="C18" s="33" t="str">
        <f>Screens!B27</f>
        <v>eduque</v>
      </c>
      <c r="D18" s="34"/>
      <c r="E18" s="46" t="str">
        <f>IF(C5&lt;&gt;"Active(A)","PeopleID Status Not Active, ","")&amp;IF(E5&lt;&gt;"Active(A)","MailID Status Not Active, ","")&amp;IF(H25=FALSE,"Missing Default Permits, ","")&amp;IF(H9,"Expand not Both, ","")&amp;IF(H26=FALSE,"Denied Permits, ","")</f>
        <v/>
      </c>
      <c r="F18" s="3" t="s">
        <v>128</v>
      </c>
      <c r="G18" s="1" t="str">
        <f>IF(ISERROR(Screens!B16),"",Screens!B16)</f>
        <v/>
      </c>
      <c r="H18" s="7"/>
      <c r="I18" s="7"/>
    </row>
    <row r="19" spans="1:9" x14ac:dyDescent="0.25">
      <c r="A19" s="7"/>
      <c r="B19" s="4" t="s">
        <v>146</v>
      </c>
      <c r="C19" s="35" t="str">
        <f>Screens!B24</f>
        <v/>
      </c>
      <c r="D19" s="36"/>
      <c r="E19" s="47"/>
      <c r="F19" s="4" t="s">
        <v>129</v>
      </c>
      <c r="G19" s="2" t="str">
        <f>IF(ISERROR(Screens!B17),"",Screens!B17)</f>
        <v>3274294</v>
      </c>
      <c r="H19" s="7"/>
      <c r="I19" s="7"/>
    </row>
    <row r="20" spans="1:9" x14ac:dyDescent="0.25">
      <c r="A20" s="7"/>
      <c r="B20" s="4" t="str">
        <f>Screens!A25&amp;"s:"</f>
        <v>MailIDs:</v>
      </c>
      <c r="C20" s="35" t="str">
        <f>Screens!B25</f>
        <v xml:space="preserve">eduque, </v>
      </c>
      <c r="D20" s="36"/>
      <c r="E20" s="47"/>
      <c r="F20" s="4" t="s">
        <v>131</v>
      </c>
      <c r="G20" s="2" t="str">
        <f>IF(ISERROR(Screens!B18),"",Screens!B18)</f>
        <v>752222679</v>
      </c>
      <c r="H20" s="7"/>
      <c r="I20" s="7"/>
    </row>
    <row r="21" spans="1:9" ht="15.75" thickBot="1" x14ac:dyDescent="0.3">
      <c r="A21" s="7"/>
      <c r="B21" s="4" t="str">
        <f>Screens!A26&amp;":"</f>
        <v>Locks:</v>
      </c>
      <c r="C21" s="38" t="str">
        <f>Screens!B26</f>
        <v xml:space="preserve">eduque, </v>
      </c>
      <c r="D21" s="39"/>
      <c r="E21" s="48"/>
      <c r="F21" s="4" t="s">
        <v>138</v>
      </c>
      <c r="G21" s="2" t="str">
        <f>IF(ISERROR(Screens!B19),"",Screens!B19)</f>
        <v>1141048</v>
      </c>
      <c r="H21" s="7"/>
      <c r="I21" s="7"/>
    </row>
    <row r="22" spans="1:9" ht="15.75" thickBot="1" x14ac:dyDescent="0.3">
      <c r="A22" s="7"/>
      <c r="B22" s="26" t="s">
        <v>142</v>
      </c>
      <c r="C22" s="27"/>
      <c r="D22" s="27"/>
      <c r="E22" s="14" t="s">
        <v>175</v>
      </c>
      <c r="F22" s="4" t="s">
        <v>139</v>
      </c>
      <c r="G22" s="2" t="str">
        <f>IF(ISERROR(Screens!B20),"",Screens!B20)</f>
        <v>903127607</v>
      </c>
      <c r="H22" s="7"/>
      <c r="I22" s="7"/>
    </row>
    <row r="23" spans="1:9" x14ac:dyDescent="0.25">
      <c r="A23" s="7"/>
      <c r="B23" s="3" t="s">
        <v>23</v>
      </c>
      <c r="C23" s="33" t="str">
        <f>IF(ISERROR(Screens!B37),"",Screens!B37)</f>
        <v/>
      </c>
      <c r="D23" s="34"/>
      <c r="E23" s="45" t="s">
        <v>0</v>
      </c>
      <c r="F23" s="4" t="s">
        <v>111</v>
      </c>
      <c r="G23" s="2" t="str">
        <f>IF(ISERROR(Screens!B21),"",Screens!B21)</f>
        <v>UCOP Employee NetID (O)</v>
      </c>
      <c r="H23" s="7"/>
      <c r="I23" s="7"/>
    </row>
    <row r="24" spans="1:9" x14ac:dyDescent="0.25">
      <c r="A24" s="7"/>
      <c r="B24" s="4" t="s">
        <v>44</v>
      </c>
      <c r="C24" s="35" t="str">
        <f>IF(ISERROR(Screens!B38),"",Screens!B38)</f>
        <v/>
      </c>
      <c r="D24" s="36"/>
      <c r="E24" s="45" t="s">
        <v>3</v>
      </c>
      <c r="F24" s="4" t="s">
        <v>140</v>
      </c>
      <c r="G24" s="2" t="str">
        <f>IF(ISERROR(Screens!B22),"",Screens!B22)</f>
        <v/>
      </c>
      <c r="H24" s="7"/>
      <c r="I24" s="7"/>
    </row>
    <row r="25" spans="1:9" ht="15" customHeight="1" x14ac:dyDescent="0.25">
      <c r="A25" s="7"/>
      <c r="B25" s="40" t="s">
        <v>151</v>
      </c>
      <c r="C25" s="42" t="str">
        <f>IF(ISERROR(Screens!B28),"",Screens!B28)</f>
        <v xml:space="preserve">IDUO (Active), ISUN (Active), IMOT (Active), IKRB (Active), ILAB (Active), IMAD (Active), GAPP (Active), EXCH (Active), IDCA (Active), PRXY (Active), </v>
      </c>
      <c r="D25" s="24"/>
      <c r="E25" s="45" t="s">
        <v>2</v>
      </c>
      <c r="F25" s="4" t="s">
        <v>141</v>
      </c>
      <c r="G25" s="2" t="str">
        <f>IF(ISERROR(Screens!B23),"",Screens!B23)</f>
        <v>duque</v>
      </c>
      <c r="H25" s="7" t="b">
        <f>OR(C25="",AND(ISERROR(SEARCH("IKRB (Active)",C25))=FALSE,ISERROR(SEARCH("ILAB (Active)",C25))=FALSE,ISERROR(SEARCH("IMAD (Active)",C25))=FALSE))</f>
        <v>1</v>
      </c>
      <c r="I25" s="7"/>
    </row>
    <row r="26" spans="1:9" x14ac:dyDescent="0.25">
      <c r="A26" s="7"/>
      <c r="B26" s="40"/>
      <c r="C26" s="42"/>
      <c r="D26" s="24"/>
      <c r="E26" s="45" t="s">
        <v>1</v>
      </c>
      <c r="F26" s="50"/>
      <c r="G26" s="13"/>
      <c r="H26" s="7" t="b">
        <f>ISERROR(SEARCH("Denied",C25))</f>
        <v>1</v>
      </c>
      <c r="I26" s="7"/>
    </row>
    <row r="27" spans="1:9" x14ac:dyDescent="0.25">
      <c r="A27" s="7"/>
      <c r="B27" s="40"/>
      <c r="C27" s="42"/>
      <c r="D27" s="24"/>
      <c r="E27" s="45" t="s">
        <v>7</v>
      </c>
      <c r="F27" s="50"/>
      <c r="G27" s="13"/>
      <c r="H27" s="7"/>
      <c r="I27" s="7"/>
    </row>
    <row r="28" spans="1:9" ht="15.75" thickBot="1" x14ac:dyDescent="0.3">
      <c r="A28" s="7"/>
      <c r="B28" s="41"/>
      <c r="C28" s="43"/>
      <c r="D28" s="25"/>
      <c r="E28" s="49"/>
      <c r="F28" s="51"/>
      <c r="G28" s="31"/>
      <c r="H28" s="7"/>
      <c r="I28" s="7"/>
    </row>
    <row r="29" spans="1:9" s="7" customFormat="1" x14ac:dyDescent="0.25">
      <c r="D29" s="10"/>
      <c r="E29" s="10"/>
      <c r="F29" s="10"/>
      <c r="G29" s="10"/>
    </row>
    <row r="30" spans="1:9" hidden="1" x14ac:dyDescent="0.25">
      <c r="A30" s="7"/>
      <c r="D30" s="12"/>
      <c r="E30" s="12"/>
      <c r="F30" s="12"/>
      <c r="G30" s="12"/>
      <c r="H30" s="7"/>
      <c r="I30" s="7"/>
    </row>
    <row r="31" spans="1:9" hidden="1" x14ac:dyDescent="0.25">
      <c r="A31" s="7"/>
      <c r="D31" s="12"/>
      <c r="E31" s="52"/>
      <c r="F31" s="12"/>
      <c r="G31" s="12"/>
      <c r="H31" s="7"/>
      <c r="I31" s="7"/>
    </row>
    <row r="32" spans="1:9" hidden="1" x14ac:dyDescent="0.25">
      <c r="A32" s="7"/>
      <c r="D32" s="12"/>
      <c r="E32" s="52"/>
      <c r="F32" s="12"/>
      <c r="G32" s="12"/>
      <c r="H32" s="7"/>
      <c r="I32" s="7"/>
    </row>
    <row r="33" spans="1:9" hidden="1" x14ac:dyDescent="0.25">
      <c r="A33" s="7"/>
      <c r="D33" s="12"/>
      <c r="E33" s="52"/>
      <c r="F33" s="12"/>
      <c r="G33" s="12"/>
      <c r="H33" s="7"/>
      <c r="I33" s="7"/>
    </row>
    <row r="34" spans="1:9" hidden="1" x14ac:dyDescent="0.25">
      <c r="A34" s="7"/>
      <c r="D34" s="12"/>
      <c r="E34" s="52"/>
      <c r="F34" s="12"/>
      <c r="G34" s="12"/>
      <c r="H34" s="7"/>
      <c r="I34" s="7"/>
    </row>
    <row r="35" spans="1:9" hidden="1" x14ac:dyDescent="0.25">
      <c r="A35" s="7"/>
      <c r="D35" s="52"/>
      <c r="E35" s="52"/>
      <c r="F35" s="12"/>
      <c r="G35" s="12"/>
      <c r="H35" s="7"/>
      <c r="I35" s="7"/>
    </row>
    <row r="36" spans="1:9" hidden="1" x14ac:dyDescent="0.25">
      <c r="A36" s="7"/>
      <c r="D36" s="52"/>
      <c r="E36" s="52"/>
      <c r="F36" s="12"/>
      <c r="G36" s="12"/>
      <c r="H36" s="7"/>
      <c r="I36" s="7"/>
    </row>
    <row r="37" spans="1:9" hidden="1" x14ac:dyDescent="0.25">
      <c r="A37" s="7"/>
      <c r="D37" s="52"/>
      <c r="E37" s="52"/>
      <c r="F37" s="12"/>
      <c r="G37" s="12"/>
      <c r="H37" s="7"/>
      <c r="I37" s="7"/>
    </row>
    <row r="38" spans="1:9" hidden="1" x14ac:dyDescent="0.25">
      <c r="A38" s="7"/>
      <c r="B38" s="7"/>
      <c r="C38" s="7"/>
      <c r="D38" s="10"/>
      <c r="E38" s="10"/>
      <c r="F38" s="7"/>
      <c r="G38" s="7"/>
      <c r="H38" s="7"/>
      <c r="I38" s="7"/>
    </row>
    <row r="39" spans="1:9" hidden="1" x14ac:dyDescent="0.25"/>
    <row r="40" spans="1:9" hidden="1" x14ac:dyDescent="0.25"/>
    <row r="41" spans="1:9" hidden="1" x14ac:dyDescent="0.25"/>
    <row r="42" spans="1:9" hidden="1" x14ac:dyDescent="0.25"/>
    <row r="43" spans="1:9" hidden="1" x14ac:dyDescent="0.25"/>
    <row r="44" spans="1:9" hidden="1" x14ac:dyDescent="0.25"/>
    <row r="45" spans="1:9" hidden="1" x14ac:dyDescent="0.25"/>
    <row r="46" spans="1:9" hidden="1" x14ac:dyDescent="0.25"/>
    <row r="47" spans="1:9" hidden="1" x14ac:dyDescent="0.25"/>
  </sheetData>
  <mergeCells count="20">
    <mergeCell ref="B17:D17"/>
    <mergeCell ref="C18:D18"/>
    <mergeCell ref="C19:D19"/>
    <mergeCell ref="C20:D20"/>
    <mergeCell ref="C21:D21"/>
    <mergeCell ref="B22:D22"/>
    <mergeCell ref="E18:E21"/>
    <mergeCell ref="F2:G2"/>
    <mergeCell ref="D2:E2"/>
    <mergeCell ref="B2:C2"/>
    <mergeCell ref="D15:D16"/>
    <mergeCell ref="E15:E16"/>
    <mergeCell ref="C23:D23"/>
    <mergeCell ref="C24:D24"/>
    <mergeCell ref="C15:C16"/>
    <mergeCell ref="B15:B16"/>
    <mergeCell ref="C12:C13"/>
    <mergeCell ref="B12:B13"/>
    <mergeCell ref="F17:G17"/>
    <mergeCell ref="C25:D28"/>
  </mergeCells>
  <conditionalFormatting sqref="C5 E5">
    <cfRule type="cellIs" dxfId="9" priority="3" operator="notEqual">
      <formula>"Active(A)"</formula>
    </cfRule>
  </conditionalFormatting>
  <conditionalFormatting sqref="E31:E37 E18">
    <cfRule type="notContainsBlanks" dxfId="8" priority="7">
      <formula>LEN(TRIM(E18))&gt;0</formula>
    </cfRule>
  </conditionalFormatting>
  <conditionalFormatting sqref="C25">
    <cfRule type="expression" dxfId="7" priority="8">
      <formula>H26=FALSE</formula>
    </cfRule>
    <cfRule type="expression" dxfId="6" priority="9">
      <formula>H25=FALSE</formula>
    </cfRule>
  </conditionalFormatting>
  <conditionalFormatting sqref="E9">
    <cfRule type="expression" dxfId="5" priority="10">
      <formula>H9=TRUE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47"/>
  <sheetViews>
    <sheetView zoomScale="85" zoomScaleNormal="85" workbookViewId="0">
      <selection activeCell="F3" sqref="F3"/>
    </sheetView>
  </sheetViews>
  <sheetFormatPr defaultColWidth="0" defaultRowHeight="15" zeroHeight="1" x14ac:dyDescent="0.25"/>
  <cols>
    <col min="1" max="1" width="3.42578125" style="79" customWidth="1"/>
    <col min="2" max="2" width="22.5703125" style="79" bestFit="1" customWidth="1"/>
    <col min="3" max="3" width="34.28515625" style="79" customWidth="1"/>
    <col min="4" max="4" width="22.5703125" style="79" bestFit="1" customWidth="1"/>
    <col min="5" max="5" width="25.140625" style="79" customWidth="1"/>
    <col min="6" max="6" width="15.42578125" style="79" customWidth="1"/>
    <col min="7" max="7" width="37.42578125" style="79" customWidth="1"/>
    <col min="8" max="8" width="6.140625" style="79" hidden="1" customWidth="1"/>
    <col min="9" max="9" width="3.42578125" style="79" customWidth="1"/>
    <col min="10" max="16384" width="9.140625" style="79" hidden="1"/>
  </cols>
  <sheetData>
    <row r="1" spans="1:9" ht="15.75" thickBot="1" x14ac:dyDescent="0.3">
      <c r="A1" s="78"/>
      <c r="B1" s="78"/>
      <c r="C1" s="78"/>
      <c r="D1" s="78"/>
      <c r="E1" s="78"/>
      <c r="F1" s="78"/>
      <c r="G1" s="78"/>
      <c r="H1" s="78"/>
      <c r="I1" s="78"/>
    </row>
    <row r="2" spans="1:9" ht="15.75" thickBot="1" x14ac:dyDescent="0.3">
      <c r="A2" s="78"/>
      <c r="B2" s="55" t="s">
        <v>156</v>
      </c>
      <c r="C2" s="56"/>
      <c r="D2" s="55" t="s">
        <v>157</v>
      </c>
      <c r="E2" s="56"/>
      <c r="F2" s="55" t="s">
        <v>209</v>
      </c>
      <c r="G2" s="56"/>
      <c r="H2" s="78"/>
      <c r="I2" s="78"/>
    </row>
    <row r="3" spans="1:9" x14ac:dyDescent="0.25">
      <c r="A3" s="78"/>
      <c r="B3" s="80" t="s">
        <v>107</v>
      </c>
      <c r="C3" s="57" t="s">
        <v>210</v>
      </c>
      <c r="D3" s="80" t="s">
        <v>167</v>
      </c>
      <c r="E3" s="57" t="s">
        <v>211</v>
      </c>
      <c r="F3" s="58" t="s">
        <v>212</v>
      </c>
      <c r="G3" s="61" t="s">
        <v>213</v>
      </c>
      <c r="H3" s="78"/>
      <c r="I3" s="78" t="s">
        <v>206</v>
      </c>
    </row>
    <row r="4" spans="1:9" x14ac:dyDescent="0.25">
      <c r="A4" s="78"/>
      <c r="B4" s="81" t="s">
        <v>108</v>
      </c>
      <c r="C4" s="60" t="s">
        <v>182</v>
      </c>
      <c r="D4" s="81" t="s">
        <v>108</v>
      </c>
      <c r="E4" s="60" t="s">
        <v>168</v>
      </c>
      <c r="F4" s="58" t="s">
        <v>214</v>
      </c>
      <c r="G4" s="61" t="s">
        <v>215</v>
      </c>
      <c r="H4" s="78"/>
      <c r="I4" s="78" t="s">
        <v>206</v>
      </c>
    </row>
    <row r="5" spans="1:9" x14ac:dyDescent="0.25">
      <c r="A5" s="78"/>
      <c r="B5" s="59" t="s">
        <v>110</v>
      </c>
      <c r="C5" s="60" t="s">
        <v>208</v>
      </c>
      <c r="D5" s="59" t="s">
        <v>110</v>
      </c>
      <c r="E5" s="60" t="s">
        <v>169</v>
      </c>
      <c r="F5" s="58" t="s">
        <v>216</v>
      </c>
      <c r="G5" s="61" t="s">
        <v>217</v>
      </c>
      <c r="H5" s="78"/>
      <c r="I5" s="78" t="s">
        <v>206</v>
      </c>
    </row>
    <row r="6" spans="1:9" x14ac:dyDescent="0.25">
      <c r="A6" s="78"/>
      <c r="B6" s="59" t="s">
        <v>111</v>
      </c>
      <c r="C6" s="60" t="s">
        <v>183</v>
      </c>
      <c r="D6" s="59"/>
      <c r="E6" s="60"/>
      <c r="F6" s="58" t="s">
        <v>218</v>
      </c>
      <c r="G6" s="61" t="s">
        <v>219</v>
      </c>
      <c r="H6" s="78"/>
      <c r="I6" s="78" t="s">
        <v>206</v>
      </c>
    </row>
    <row r="7" spans="1:9" x14ac:dyDescent="0.25">
      <c r="A7" s="78"/>
      <c r="B7" s="81" t="s">
        <v>106</v>
      </c>
      <c r="C7" s="60" t="s">
        <v>220</v>
      </c>
      <c r="D7" s="81" t="s">
        <v>106</v>
      </c>
      <c r="E7" s="60" t="s">
        <v>220</v>
      </c>
      <c r="F7" s="58" t="s">
        <v>221</v>
      </c>
      <c r="G7" s="61" t="s">
        <v>222</v>
      </c>
      <c r="H7" s="78"/>
      <c r="I7" s="78" t="s">
        <v>206</v>
      </c>
    </row>
    <row r="8" spans="1:9" x14ac:dyDescent="0.25">
      <c r="A8" s="78"/>
      <c r="B8" s="81"/>
      <c r="C8" s="60"/>
      <c r="D8" s="81"/>
      <c r="E8" s="60"/>
      <c r="F8" s="58" t="s">
        <v>223</v>
      </c>
      <c r="G8" s="61" t="s">
        <v>224</v>
      </c>
      <c r="H8" s="78"/>
      <c r="I8" s="78" t="s">
        <v>206</v>
      </c>
    </row>
    <row r="9" spans="1:9" x14ac:dyDescent="0.25">
      <c r="A9" s="78"/>
      <c r="B9" s="81" t="s">
        <v>112</v>
      </c>
      <c r="C9" s="60" t="s">
        <v>172</v>
      </c>
      <c r="D9" s="81" t="s">
        <v>160</v>
      </c>
      <c r="E9" s="60" t="s">
        <v>170</v>
      </c>
      <c r="F9" s="58" t="s">
        <v>223</v>
      </c>
      <c r="G9" s="61" t="s">
        <v>225</v>
      </c>
      <c r="H9" s="78" t="b">
        <f>IF(E9&lt;&gt;"Both (B)",TRUE,FALSE)</f>
        <v>0</v>
      </c>
      <c r="I9" s="78" t="s">
        <v>206</v>
      </c>
    </row>
    <row r="10" spans="1:9" x14ac:dyDescent="0.25">
      <c r="A10" s="78"/>
      <c r="B10" s="81" t="s">
        <v>20</v>
      </c>
      <c r="C10" s="60" t="s">
        <v>172</v>
      </c>
      <c r="D10" s="81" t="s">
        <v>161</v>
      </c>
      <c r="E10" s="60" t="s">
        <v>226</v>
      </c>
      <c r="F10" s="58" t="s">
        <v>223</v>
      </c>
      <c r="G10" s="61" t="s">
        <v>207</v>
      </c>
      <c r="H10" s="78"/>
      <c r="I10" s="78" t="s">
        <v>206</v>
      </c>
    </row>
    <row r="11" spans="1:9" ht="15" customHeight="1" x14ac:dyDescent="0.25">
      <c r="A11" s="78"/>
      <c r="B11" s="81" t="s">
        <v>113</v>
      </c>
      <c r="C11" s="60" t="s">
        <v>227</v>
      </c>
      <c r="D11" s="81" t="s">
        <v>162</v>
      </c>
      <c r="E11" s="60" t="s">
        <v>184</v>
      </c>
      <c r="F11" s="58" t="s">
        <v>223</v>
      </c>
      <c r="G11" s="61" t="s">
        <v>228</v>
      </c>
      <c r="H11" s="78"/>
      <c r="I11" s="78" t="s">
        <v>206</v>
      </c>
    </row>
    <row r="12" spans="1:9" x14ac:dyDescent="0.25">
      <c r="A12" s="78"/>
      <c r="B12" s="62" t="s">
        <v>114</v>
      </c>
      <c r="C12" s="82" t="s">
        <v>229</v>
      </c>
      <c r="D12" s="81"/>
      <c r="E12" s="60"/>
      <c r="F12" s="58" t="s">
        <v>230</v>
      </c>
      <c r="G12" s="61" t="s">
        <v>231</v>
      </c>
      <c r="H12" s="78"/>
      <c r="I12" s="78" t="s">
        <v>206</v>
      </c>
    </row>
    <row r="13" spans="1:9" x14ac:dyDescent="0.25">
      <c r="A13" s="78"/>
      <c r="B13" s="62"/>
      <c r="C13" s="82"/>
      <c r="D13" s="81"/>
      <c r="E13" s="60"/>
      <c r="F13" s="58"/>
      <c r="G13" s="61"/>
      <c r="H13" s="78"/>
      <c r="I13" s="78" t="s">
        <v>206</v>
      </c>
    </row>
    <row r="14" spans="1:9" x14ac:dyDescent="0.25">
      <c r="A14" s="78"/>
      <c r="B14" s="81" t="s">
        <v>23</v>
      </c>
      <c r="C14" s="60" t="s">
        <v>172</v>
      </c>
      <c r="D14" s="81"/>
      <c r="E14" s="60"/>
      <c r="F14" s="58"/>
      <c r="G14" s="61"/>
      <c r="H14" s="78"/>
      <c r="I14" s="78" t="s">
        <v>206</v>
      </c>
    </row>
    <row r="15" spans="1:9" x14ac:dyDescent="0.25">
      <c r="A15" s="78"/>
      <c r="B15" s="62" t="s">
        <v>44</v>
      </c>
      <c r="C15" s="83" t="s">
        <v>232</v>
      </c>
      <c r="D15" s="62" t="s">
        <v>44</v>
      </c>
      <c r="E15" s="83" t="s">
        <v>172</v>
      </c>
      <c r="F15" s="58"/>
      <c r="G15" s="61"/>
      <c r="H15" s="78"/>
      <c r="I15" s="78" t="s">
        <v>206</v>
      </c>
    </row>
    <row r="16" spans="1:9" ht="15.75" thickBot="1" x14ac:dyDescent="0.3">
      <c r="A16" s="78"/>
      <c r="B16" s="63"/>
      <c r="C16" s="84"/>
      <c r="D16" s="63"/>
      <c r="E16" s="84"/>
      <c r="F16" s="58"/>
      <c r="G16" s="61"/>
      <c r="H16" s="78"/>
      <c r="I16" s="78"/>
    </row>
    <row r="17" spans="1:9" ht="15.75" customHeight="1" thickBot="1" x14ac:dyDescent="0.3">
      <c r="A17" s="78"/>
      <c r="B17" s="64" t="s">
        <v>166</v>
      </c>
      <c r="C17" s="65"/>
      <c r="D17" s="65"/>
      <c r="E17" s="66" t="s">
        <v>173</v>
      </c>
      <c r="F17" s="67" t="s">
        <v>165</v>
      </c>
      <c r="G17" s="68"/>
      <c r="H17" s="78"/>
      <c r="I17" s="78"/>
    </row>
    <row r="18" spans="1:9" x14ac:dyDescent="0.25">
      <c r="A18" s="78"/>
      <c r="B18" s="80" t="s">
        <v>147</v>
      </c>
      <c r="C18" s="69" t="s">
        <v>226</v>
      </c>
      <c r="D18" s="70"/>
      <c r="E18" s="85" t="s">
        <v>233</v>
      </c>
      <c r="F18" s="80" t="s">
        <v>128</v>
      </c>
      <c r="G18" s="57" t="s">
        <v>234</v>
      </c>
      <c r="H18" s="78"/>
      <c r="I18" s="78"/>
    </row>
    <row r="19" spans="1:9" x14ac:dyDescent="0.25">
      <c r="A19" s="78"/>
      <c r="B19" s="81" t="s">
        <v>146</v>
      </c>
      <c r="C19" s="71" t="s">
        <v>172</v>
      </c>
      <c r="D19" s="72"/>
      <c r="E19" s="28"/>
      <c r="F19" s="81" t="s">
        <v>129</v>
      </c>
      <c r="G19" s="60" t="s">
        <v>235</v>
      </c>
      <c r="H19" s="78"/>
      <c r="I19" s="78"/>
    </row>
    <row r="20" spans="1:9" x14ac:dyDescent="0.25">
      <c r="A20" s="78"/>
      <c r="B20" s="81" t="s">
        <v>174</v>
      </c>
      <c r="C20" s="71" t="s">
        <v>236</v>
      </c>
      <c r="D20" s="72"/>
      <c r="E20" s="28"/>
      <c r="F20" s="81" t="s">
        <v>131</v>
      </c>
      <c r="G20" s="60" t="s">
        <v>237</v>
      </c>
      <c r="H20" s="78"/>
      <c r="I20" s="78"/>
    </row>
    <row r="21" spans="1:9" ht="15.75" thickBot="1" x14ac:dyDescent="0.3">
      <c r="A21" s="78"/>
      <c r="B21" s="81" t="s">
        <v>171</v>
      </c>
      <c r="C21" s="73" t="s">
        <v>238</v>
      </c>
      <c r="D21" s="74"/>
      <c r="E21" s="29"/>
      <c r="F21" s="81" t="s">
        <v>138</v>
      </c>
      <c r="G21" s="60" t="s">
        <v>239</v>
      </c>
      <c r="H21" s="78"/>
      <c r="I21" s="78"/>
    </row>
    <row r="22" spans="1:9" ht="15.75" thickBot="1" x14ac:dyDescent="0.3">
      <c r="A22" s="78"/>
      <c r="B22" s="64" t="s">
        <v>142</v>
      </c>
      <c r="C22" s="65"/>
      <c r="D22" s="65"/>
      <c r="E22" s="75" t="s">
        <v>175</v>
      </c>
      <c r="F22" s="81" t="s">
        <v>139</v>
      </c>
      <c r="G22" s="60" t="s">
        <v>237</v>
      </c>
      <c r="H22" s="78"/>
      <c r="I22" s="78"/>
    </row>
    <row r="23" spans="1:9" x14ac:dyDescent="0.25">
      <c r="A23" s="78"/>
      <c r="B23" s="80" t="s">
        <v>23</v>
      </c>
      <c r="C23" s="69" t="s">
        <v>172</v>
      </c>
      <c r="D23" s="70"/>
      <c r="E23" s="86" t="s">
        <v>0</v>
      </c>
      <c r="F23" s="81" t="s">
        <v>111</v>
      </c>
      <c r="G23" s="60" t="s">
        <v>185</v>
      </c>
      <c r="H23" s="78"/>
      <c r="I23" s="78"/>
    </row>
    <row r="24" spans="1:9" x14ac:dyDescent="0.25">
      <c r="A24" s="78"/>
      <c r="B24" s="81" t="s">
        <v>44</v>
      </c>
      <c r="C24" s="71" t="s">
        <v>172</v>
      </c>
      <c r="D24" s="72"/>
      <c r="E24" s="86" t="s">
        <v>3</v>
      </c>
      <c r="F24" s="81" t="s">
        <v>140</v>
      </c>
      <c r="G24" s="60" t="s">
        <v>237</v>
      </c>
      <c r="H24" s="78"/>
      <c r="I24" s="78"/>
    </row>
    <row r="25" spans="1:9" ht="15" customHeight="1" x14ac:dyDescent="0.25">
      <c r="A25" s="78"/>
      <c r="B25" s="76" t="s">
        <v>151</v>
      </c>
      <c r="C25" s="87" t="s">
        <v>240</v>
      </c>
      <c r="D25" s="88"/>
      <c r="E25" s="86" t="s">
        <v>2</v>
      </c>
      <c r="F25" s="81" t="s">
        <v>141</v>
      </c>
      <c r="G25" s="60" t="s">
        <v>241</v>
      </c>
      <c r="H25" s="78" t="b">
        <f>OR(C25="",AND(ISERROR(SEARCH("IKRB (Active)",C25))=FALSE,ISERROR(SEARCH("ILAB (Active)",C25))=FALSE,ISERROR(SEARCH("IMAD (Active)",C25))=FALSE))</f>
        <v>1</v>
      </c>
      <c r="I25" s="78"/>
    </row>
    <row r="26" spans="1:9" x14ac:dyDescent="0.25">
      <c r="A26" s="78"/>
      <c r="B26" s="76"/>
      <c r="C26" s="87"/>
      <c r="D26" s="88"/>
      <c r="E26" s="86" t="s">
        <v>1</v>
      </c>
      <c r="F26" s="89"/>
      <c r="G26" s="60"/>
      <c r="H26" s="78" t="b">
        <f>ISERROR(SEARCH("Denied",C25))</f>
        <v>1</v>
      </c>
      <c r="I26" s="78"/>
    </row>
    <row r="27" spans="1:9" x14ac:dyDescent="0.25">
      <c r="A27" s="78"/>
      <c r="B27" s="76"/>
      <c r="C27" s="87"/>
      <c r="D27" s="88"/>
      <c r="E27" s="86" t="s">
        <v>7</v>
      </c>
      <c r="F27" s="89"/>
      <c r="G27" s="60"/>
      <c r="H27" s="78"/>
      <c r="I27" s="78"/>
    </row>
    <row r="28" spans="1:9" ht="15.75" thickBot="1" x14ac:dyDescent="0.3">
      <c r="A28" s="78"/>
      <c r="B28" s="77"/>
      <c r="C28" s="90"/>
      <c r="D28" s="91"/>
      <c r="E28" s="92"/>
      <c r="F28" s="93"/>
      <c r="G28" s="94"/>
      <c r="H28" s="78"/>
      <c r="I28" s="78"/>
    </row>
    <row r="29" spans="1:9" s="78" customFormat="1" x14ac:dyDescent="0.25">
      <c r="D29" s="95"/>
      <c r="E29" s="95"/>
      <c r="F29" s="95"/>
      <c r="G29" s="95"/>
    </row>
    <row r="30" spans="1:9" hidden="1" x14ac:dyDescent="0.25">
      <c r="A30" s="78"/>
      <c r="D30" s="37"/>
      <c r="E30" s="37"/>
      <c r="F30" s="37"/>
      <c r="G30" s="37"/>
      <c r="H30" s="78"/>
      <c r="I30" s="78"/>
    </row>
    <row r="31" spans="1:9" hidden="1" x14ac:dyDescent="0.25">
      <c r="A31" s="78"/>
      <c r="D31" s="37"/>
      <c r="E31" s="96"/>
      <c r="F31" s="37"/>
      <c r="G31" s="37"/>
      <c r="H31" s="78"/>
      <c r="I31" s="78"/>
    </row>
    <row r="32" spans="1:9" hidden="1" x14ac:dyDescent="0.25">
      <c r="A32" s="78"/>
      <c r="D32" s="37"/>
      <c r="E32" s="96"/>
      <c r="F32" s="37"/>
      <c r="G32" s="37"/>
      <c r="H32" s="78"/>
      <c r="I32" s="78"/>
    </row>
    <row r="33" spans="1:9" hidden="1" x14ac:dyDescent="0.25">
      <c r="A33" s="78"/>
      <c r="D33" s="37"/>
      <c r="E33" s="96"/>
      <c r="F33" s="37"/>
      <c r="G33" s="37"/>
      <c r="H33" s="78"/>
      <c r="I33" s="78"/>
    </row>
    <row r="34" spans="1:9" hidden="1" x14ac:dyDescent="0.25">
      <c r="A34" s="78"/>
      <c r="D34" s="37"/>
      <c r="E34" s="96"/>
      <c r="F34" s="37"/>
      <c r="G34" s="37"/>
      <c r="H34" s="78"/>
      <c r="I34" s="78"/>
    </row>
    <row r="35" spans="1:9" hidden="1" x14ac:dyDescent="0.25">
      <c r="A35" s="78"/>
      <c r="D35" s="96"/>
      <c r="E35" s="96"/>
      <c r="F35" s="37"/>
      <c r="G35" s="37"/>
      <c r="H35" s="78"/>
      <c r="I35" s="78"/>
    </row>
    <row r="36" spans="1:9" hidden="1" x14ac:dyDescent="0.25">
      <c r="A36" s="78"/>
      <c r="D36" s="96"/>
      <c r="E36" s="96"/>
      <c r="F36" s="37"/>
      <c r="G36" s="37"/>
      <c r="H36" s="78"/>
      <c r="I36" s="78"/>
    </row>
    <row r="37" spans="1:9" hidden="1" x14ac:dyDescent="0.25">
      <c r="A37" s="78"/>
      <c r="D37" s="96"/>
      <c r="E37" s="96"/>
      <c r="F37" s="37"/>
      <c r="G37" s="37"/>
      <c r="H37" s="78"/>
      <c r="I37" s="78"/>
    </row>
    <row r="38" spans="1:9" hidden="1" x14ac:dyDescent="0.25">
      <c r="A38" s="78"/>
      <c r="B38" s="78"/>
      <c r="C38" s="78"/>
      <c r="D38" s="95"/>
      <c r="E38" s="95"/>
      <c r="F38" s="78"/>
      <c r="G38" s="78"/>
      <c r="H38" s="78"/>
      <c r="I38" s="78"/>
    </row>
    <row r="39" spans="1:9" hidden="1" x14ac:dyDescent="0.25"/>
    <row r="40" spans="1:9" hidden="1" x14ac:dyDescent="0.25"/>
    <row r="41" spans="1:9" hidden="1" x14ac:dyDescent="0.25"/>
    <row r="42" spans="1:9" hidden="1" x14ac:dyDescent="0.25"/>
    <row r="43" spans="1:9" hidden="1" x14ac:dyDescent="0.25"/>
    <row r="44" spans="1:9" hidden="1" x14ac:dyDescent="0.25"/>
    <row r="45" spans="1:9" hidden="1" x14ac:dyDescent="0.25"/>
    <row r="46" spans="1:9" hidden="1" x14ac:dyDescent="0.25"/>
    <row r="47" spans="1:9" hidden="1" x14ac:dyDescent="0.25"/>
  </sheetData>
  <mergeCells count="20">
    <mergeCell ref="B22:D22"/>
    <mergeCell ref="C23:D23"/>
    <mergeCell ref="C24:D24"/>
    <mergeCell ref="C25:D28"/>
    <mergeCell ref="B17:D17"/>
    <mergeCell ref="F17:G17"/>
    <mergeCell ref="C18:D18"/>
    <mergeCell ref="E18:E21"/>
    <mergeCell ref="C19:D19"/>
    <mergeCell ref="C20:D20"/>
    <mergeCell ref="C21:D21"/>
    <mergeCell ref="B2:C2"/>
    <mergeCell ref="D2:E2"/>
    <mergeCell ref="F2:G2"/>
    <mergeCell ref="B12:B13"/>
    <mergeCell ref="C12:C13"/>
    <mergeCell ref="B15:B16"/>
    <mergeCell ref="C15:C16"/>
    <mergeCell ref="D15:D16"/>
    <mergeCell ref="E15:E16"/>
  </mergeCells>
  <conditionalFormatting sqref="C5 E5">
    <cfRule type="cellIs" dxfId="4" priority="1" operator="notEqual">
      <formula>"Active(A)"</formula>
    </cfRule>
  </conditionalFormatting>
  <conditionalFormatting sqref="E31:E37 E18">
    <cfRule type="notContainsBlanks" dxfId="3" priority="2">
      <formula>LEN(TRIM(E18))&gt;0</formula>
    </cfRule>
  </conditionalFormatting>
  <conditionalFormatting sqref="C25">
    <cfRule type="expression" dxfId="2" priority="3">
      <formula>H26=FALSE</formula>
    </cfRule>
    <cfRule type="expression" dxfId="1" priority="4">
      <formula>H25=FALSE</formula>
    </cfRule>
  </conditionalFormatting>
  <conditionalFormatting sqref="E9">
    <cfRule type="expression" dxfId="0" priority="5">
      <formula>H9=TRUE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0"/>
  <sheetViews>
    <sheetView workbookViewId="0">
      <selection activeCell="F3" sqref="F3"/>
    </sheetView>
  </sheetViews>
  <sheetFormatPr defaultRowHeight="15" x14ac:dyDescent="0.25"/>
  <cols>
    <col min="1" max="4" width="9.140625" customWidth="1"/>
    <col min="5" max="10" width="13" customWidth="1"/>
  </cols>
  <sheetData>
    <row r="1" spans="1:10" s="8" customFormat="1" ht="45.75" thickBot="1" x14ac:dyDescent="0.3">
      <c r="A1" s="8" t="s">
        <v>152</v>
      </c>
      <c r="B1" s="8" t="s">
        <v>153</v>
      </c>
      <c r="C1" s="8" t="s">
        <v>154</v>
      </c>
      <c r="D1" s="8" t="s">
        <v>155</v>
      </c>
      <c r="E1" s="9" t="s">
        <v>3</v>
      </c>
      <c r="F1" s="9" t="s">
        <v>0</v>
      </c>
      <c r="G1" s="9" t="s">
        <v>1</v>
      </c>
      <c r="H1" s="9" t="s">
        <v>7</v>
      </c>
      <c r="I1" s="9" t="s">
        <v>2</v>
      </c>
      <c r="J1" s="9" t="s">
        <v>8</v>
      </c>
    </row>
    <row r="2" spans="1:10" x14ac:dyDescent="0.25">
      <c r="A2" t="s">
        <v>115</v>
      </c>
      <c r="B2" t="str">
        <f>SUBSTITUTE(LEFT(F3,SEARCH("  ",F3)-1)," MothraID: ","")</f>
        <v>01388797</v>
      </c>
      <c r="C2" t="s">
        <v>148</v>
      </c>
      <c r="D2" t="s">
        <v>148</v>
      </c>
      <c r="E2" t="s">
        <v>10</v>
      </c>
      <c r="F2" t="s">
        <v>10</v>
      </c>
      <c r="G2" t="s">
        <v>10</v>
      </c>
      <c r="H2" t="s">
        <v>10</v>
      </c>
      <c r="I2" t="s">
        <v>10</v>
      </c>
      <c r="J2" t="s">
        <v>10</v>
      </c>
    </row>
    <row r="3" spans="1:10" x14ac:dyDescent="0.25">
      <c r="A3" t="s">
        <v>116</v>
      </c>
      <c r="B3" t="str">
        <f>SUBSTITUTE(SUBSTITUTE(LEFT(F5,SEARCH("Status:",F5)-1),"Type: ","")," ","")</f>
        <v>Staff(S)</v>
      </c>
      <c r="C3" t="s">
        <v>149</v>
      </c>
      <c r="D3" t="s">
        <v>149</v>
      </c>
      <c r="E3" t="s">
        <v>55</v>
      </c>
      <c r="F3" t="s">
        <v>11</v>
      </c>
      <c r="G3" t="s">
        <v>26</v>
      </c>
      <c r="H3" t="s">
        <v>78</v>
      </c>
      <c r="I3" t="s">
        <v>39</v>
      </c>
      <c r="J3" t="s">
        <v>78</v>
      </c>
    </row>
    <row r="4" spans="1:10" x14ac:dyDescent="0.25">
      <c r="A4" t="s">
        <v>109</v>
      </c>
      <c r="B4" t="str">
        <f>SUBSTITUTE(LEFT(RIGHT(F5,LEN(F5)-SEARCH("Status: ",F5)-7),SEARCH(")",RIGHT(F5,LEN(F5)-SEARCH("Status: ",F5)+1)))," ","")</f>
        <v>Active(A)</v>
      </c>
      <c r="C4" t="s">
        <v>148</v>
      </c>
      <c r="D4" t="s">
        <v>148</v>
      </c>
      <c r="E4" t="s">
        <v>10</v>
      </c>
      <c r="F4" t="s">
        <v>10</v>
      </c>
      <c r="G4" t="s">
        <v>10</v>
      </c>
      <c r="H4" t="s">
        <v>10</v>
      </c>
      <c r="I4" t="s">
        <v>40</v>
      </c>
      <c r="J4" t="s">
        <v>96</v>
      </c>
    </row>
    <row r="5" spans="1:10" x14ac:dyDescent="0.25">
      <c r="A5" t="s">
        <v>117</v>
      </c>
      <c r="B5" t="str">
        <f>SUBSTITUTE(SUBSTITUTE(F6,"Source:","")," ","")</f>
        <v>D</v>
      </c>
      <c r="C5" t="s">
        <v>149</v>
      </c>
      <c r="D5" t="s">
        <v>149</v>
      </c>
      <c r="E5" t="s">
        <v>56</v>
      </c>
      <c r="F5" t="s">
        <v>12</v>
      </c>
      <c r="H5" t="s">
        <v>178</v>
      </c>
      <c r="I5" t="s">
        <v>10</v>
      </c>
      <c r="J5" t="s">
        <v>10</v>
      </c>
    </row>
    <row r="6" spans="1:10" x14ac:dyDescent="0.25">
      <c r="A6" t="s">
        <v>118</v>
      </c>
      <c r="B6" t="str">
        <f>RIGHT(F7,LEN(F7)-SEARCH("First: ",F7)-6)</f>
        <v>Earl</v>
      </c>
      <c r="C6" t="str">
        <f t="shared" ref="C6:C21" si="0">IF(ISERROR(SEARCH("LoginID",H6)),"",LEFT(H6,SEARCH(" ",H6)-1)&amp;RIGHT(H6,3))</f>
        <v/>
      </c>
      <c r="F6" t="s">
        <v>13</v>
      </c>
      <c r="G6" t="s">
        <v>27</v>
      </c>
      <c r="H6" t="s">
        <v>90</v>
      </c>
      <c r="I6" t="s">
        <v>41</v>
      </c>
      <c r="J6" t="s">
        <v>97</v>
      </c>
    </row>
    <row r="7" spans="1:10" x14ac:dyDescent="0.25">
      <c r="A7" t="s">
        <v>119</v>
      </c>
      <c r="B7" t="str">
        <f>LEFT(RIGHT(F8,LEN(F8)-SEARCH("Middle: ",F8)-7),SEARCH("  ",RIGHT(F8,LEN(F8)-SEARCH("Middle: ",F8)-7))-1)</f>
        <v>H</v>
      </c>
      <c r="C7" t="str">
        <f t="shared" si="0"/>
        <v/>
      </c>
      <c r="E7" t="s">
        <v>42</v>
      </c>
      <c r="F7" t="s">
        <v>14</v>
      </c>
      <c r="H7" t="s">
        <v>91</v>
      </c>
      <c r="I7" t="s">
        <v>42</v>
      </c>
      <c r="J7" t="s">
        <v>98</v>
      </c>
    </row>
    <row r="8" spans="1:10" x14ac:dyDescent="0.25">
      <c r="A8" t="s">
        <v>120</v>
      </c>
      <c r="B8" t="str">
        <f>LEFT(RIGHT(F9,LEN(F9)-SEARCH("Last: ",F9)-5),SEARCH("  ",RIGHT(F9,LEN(F9)-SEARCH("Last: ",F9)-5))-1)</f>
        <v>Duque</v>
      </c>
      <c r="C8" t="str">
        <f t="shared" si="0"/>
        <v>eduque(Z)</v>
      </c>
      <c r="E8" t="s">
        <v>43</v>
      </c>
      <c r="F8" t="s">
        <v>15</v>
      </c>
      <c r="G8" t="s">
        <v>28</v>
      </c>
      <c r="H8" t="s">
        <v>92</v>
      </c>
      <c r="I8" t="s">
        <v>43</v>
      </c>
      <c r="J8" t="s">
        <v>99</v>
      </c>
    </row>
    <row r="9" spans="1:10" x14ac:dyDescent="0.25">
      <c r="A9" t="s">
        <v>121</v>
      </c>
      <c r="B9" t="e">
        <f>LEFT(RIGHT(F11,LEN(F11)-SEARCH("Birthdate: ",F11)-10),SEARCH("  ",RIGHT(F11,LEN(F11)-SEARCH("Birthdate: ",F11)-10))-1)</f>
        <v>#VALUE!</v>
      </c>
      <c r="C9" t="str">
        <f t="shared" si="0"/>
        <v/>
      </c>
      <c r="F9" t="s">
        <v>16</v>
      </c>
      <c r="G9" t="s">
        <v>29</v>
      </c>
      <c r="H9" t="s">
        <v>93</v>
      </c>
      <c r="J9" t="s">
        <v>100</v>
      </c>
    </row>
    <row r="10" spans="1:10" x14ac:dyDescent="0.25">
      <c r="A10" t="s">
        <v>122</v>
      </c>
      <c r="B10" t="str">
        <f>LEFT(RIGHT(F13,LEN(F13)-SEARCH("Major: ",F13)-6),SEARCH("  ",RIGHT(F13,LEN(F13)-SEARCH("Major: ",F13)-6))-1)</f>
        <v/>
      </c>
      <c r="C10" t="str">
        <f t="shared" si="0"/>
        <v/>
      </c>
      <c r="E10" t="s">
        <v>57</v>
      </c>
      <c r="G10" t="s">
        <v>30</v>
      </c>
      <c r="H10" t="s">
        <v>94</v>
      </c>
      <c r="I10" t="s">
        <v>23</v>
      </c>
      <c r="J10" t="s">
        <v>101</v>
      </c>
    </row>
    <row r="11" spans="1:10" x14ac:dyDescent="0.25">
      <c r="A11" t="s">
        <v>123</v>
      </c>
      <c r="B11" t="e">
        <f>RIGHT(F14,LEN(F14)-SEARCH("Classlevel:",F14)-11)</f>
        <v>#VALUE!</v>
      </c>
      <c r="C11" t="str">
        <f t="shared" si="0"/>
        <v/>
      </c>
      <c r="D11" t="str">
        <f>IF(ISERROR(SEARCH("Next Screen",H23)),"End","More")</f>
        <v>End</v>
      </c>
      <c r="E11" t="s">
        <v>58</v>
      </c>
      <c r="G11" t="s">
        <v>31</v>
      </c>
      <c r="I11" t="s">
        <v>44</v>
      </c>
      <c r="J11" t="s">
        <v>99</v>
      </c>
    </row>
    <row r="12" spans="1:10" x14ac:dyDescent="0.25">
      <c r="A12" t="s">
        <v>124</v>
      </c>
      <c r="B12" t="str">
        <f>RIGHT(F15,LEN(F15)-SEARCH(": ",F15)-1)</f>
        <v>7558   BUS TCHL SUPP ANL 2</v>
      </c>
      <c r="C12" t="str">
        <f t="shared" si="0"/>
        <v/>
      </c>
      <c r="D12" t="str">
        <f>IF(ISERROR(SEARCH("Next Screen",I23)),"End","More")</f>
        <v>More</v>
      </c>
      <c r="E12" t="s">
        <v>59</v>
      </c>
      <c r="F12" t="s">
        <v>18</v>
      </c>
      <c r="G12" t="s">
        <v>32</v>
      </c>
      <c r="J12" t="s">
        <v>102</v>
      </c>
    </row>
    <row r="13" spans="1:10" x14ac:dyDescent="0.25">
      <c r="A13" t="s">
        <v>125</v>
      </c>
      <c r="B13" t="str">
        <f>RIGHT(F16,LEN(F16)-SEARCH(": ",F16)-1)</f>
        <v>061419 ENT APPS&amp;INFRASTRUCTURE SVCS</v>
      </c>
      <c r="C13" t="str">
        <f t="shared" si="0"/>
        <v/>
      </c>
      <c r="D13" t="str">
        <f>IF(ISERROR(SEARCH("Next Screen",J23)),"End","More")</f>
        <v>More</v>
      </c>
      <c r="F13" t="s">
        <v>19</v>
      </c>
      <c r="G13" t="s">
        <v>33</v>
      </c>
      <c r="I13" t="s">
        <v>45</v>
      </c>
      <c r="J13" t="s">
        <v>101</v>
      </c>
    </row>
    <row r="14" spans="1:10" x14ac:dyDescent="0.25">
      <c r="A14" t="s">
        <v>126</v>
      </c>
      <c r="B14" t="e">
        <f>RIGHT(F18,LEN(F18)-SEARCH(": ",F18)-1)</f>
        <v>#VALUE!</v>
      </c>
      <c r="C14" t="str">
        <f t="shared" si="0"/>
        <v/>
      </c>
      <c r="D14" t="str">
        <f t="shared" ref="D14:D21" si="1">IF(LEFT(RIGHT(LEFT(I14,5),4)&amp;" ("&amp;RIGHT(LEFT(I14,SEARCH("STATUS",$I$13)+5),6)&amp;")",1)=" ","",RIGHT(LEFT(I14,5),4)&amp;" ("&amp;RIGHT(LEFT(I14,SEARCH("STATUS",$I$13)+5),6)&amp;")")</f>
        <v>IDUO (Active)</v>
      </c>
      <c r="E14" t="s">
        <v>60</v>
      </c>
      <c r="F14" t="s">
        <v>20</v>
      </c>
      <c r="I14" t="s">
        <v>46</v>
      </c>
      <c r="J14" t="s">
        <v>99</v>
      </c>
    </row>
    <row r="15" spans="1:10" x14ac:dyDescent="0.25">
      <c r="A15" t="s">
        <v>127</v>
      </c>
      <c r="B15" t="str">
        <f>RIGHT(F19,LEN(F19)-SEARCH(": ",F19)-1)</f>
        <v>21-JUL-17:WkInfo 20-JUL-17:Names 20-JUL-17:Type X-&gt;S</v>
      </c>
      <c r="C15" t="str">
        <f t="shared" si="0"/>
        <v/>
      </c>
      <c r="D15" t="str">
        <f t="shared" si="1"/>
        <v>ISUN (Active)</v>
      </c>
      <c r="E15" t="s">
        <v>61</v>
      </c>
      <c r="F15" t="s">
        <v>21</v>
      </c>
      <c r="G15" t="s">
        <v>34</v>
      </c>
      <c r="I15" t="s">
        <v>47</v>
      </c>
      <c r="J15" t="s">
        <v>103</v>
      </c>
    </row>
    <row r="16" spans="1:10" x14ac:dyDescent="0.25">
      <c r="A16" t="s">
        <v>137</v>
      </c>
      <c r="B16" t="str">
        <f>LEFT(RIGHT(G9,LEN(G9)-SEARCH("StudentID:",G9)-10),SEARCH("  ",RIGHT(G9,LEN(G9)-SEARCH("StudentID:",G9)-10))-1)</f>
        <v/>
      </c>
      <c r="C16" t="str">
        <f t="shared" si="0"/>
        <v/>
      </c>
      <c r="D16" t="str">
        <f t="shared" si="1"/>
        <v>IMOT (Active)</v>
      </c>
      <c r="E16" t="s">
        <v>62</v>
      </c>
      <c r="F16" t="s">
        <v>22</v>
      </c>
      <c r="G16" t="s">
        <v>35</v>
      </c>
      <c r="I16" t="s">
        <v>48</v>
      </c>
      <c r="J16" t="s">
        <v>101</v>
      </c>
    </row>
    <row r="17" spans="1:10" x14ac:dyDescent="0.25">
      <c r="A17" t="s">
        <v>130</v>
      </c>
      <c r="B17" t="str">
        <f>LEFT(RIGHT(G10,LEN(G10)-SEARCH("Banner PIDM:",G10)-12),SEARCH("  ",RIGHT(G10,LEN(G10)-SEARCH("Banner PIDM:",G10)-12))-1)</f>
        <v>3274294</v>
      </c>
      <c r="C17" t="str">
        <f t="shared" si="0"/>
        <v/>
      </c>
      <c r="D17" t="str">
        <f t="shared" si="1"/>
        <v>IKRB (Active)</v>
      </c>
      <c r="G17" t="s">
        <v>36</v>
      </c>
      <c r="I17" t="s">
        <v>49</v>
      </c>
      <c r="J17" t="s">
        <v>99</v>
      </c>
    </row>
    <row r="18" spans="1:10" x14ac:dyDescent="0.25">
      <c r="A18" t="s">
        <v>132</v>
      </c>
      <c r="B18" t="str">
        <f>RIGHT(G11,LEN(G11)-SEARCH(": ",G11)-1)</f>
        <v>752222679</v>
      </c>
      <c r="C18" t="str">
        <f t="shared" si="0"/>
        <v/>
      </c>
      <c r="D18" t="str">
        <f t="shared" si="1"/>
        <v>ILAB (Active)</v>
      </c>
      <c r="E18" t="s">
        <v>44</v>
      </c>
      <c r="F18" t="s">
        <v>23</v>
      </c>
      <c r="G18" t="s">
        <v>37</v>
      </c>
      <c r="I18" t="s">
        <v>50</v>
      </c>
      <c r="J18" t="s">
        <v>104</v>
      </c>
    </row>
    <row r="19" spans="1:10" x14ac:dyDescent="0.25">
      <c r="A19" t="s">
        <v>133</v>
      </c>
      <c r="B19" t="str">
        <f>RIGHT(G12,LEN(G12)-SEARCH(": ",G12)-1)</f>
        <v>1141048</v>
      </c>
      <c r="C19" t="str">
        <f t="shared" si="0"/>
        <v/>
      </c>
      <c r="D19" t="str">
        <f t="shared" si="1"/>
        <v>IMAD (Active)</v>
      </c>
      <c r="F19" t="s">
        <v>24</v>
      </c>
      <c r="I19" t="s">
        <v>51</v>
      </c>
      <c r="J19" t="s">
        <v>101</v>
      </c>
    </row>
    <row r="20" spans="1:10" x14ac:dyDescent="0.25">
      <c r="A20" t="s">
        <v>134</v>
      </c>
      <c r="B20" t="str">
        <f>RIGHT(G13,LEN(G13)-SEARCH(": ",G13)-1)</f>
        <v>903127607</v>
      </c>
      <c r="C20" t="str">
        <f t="shared" si="0"/>
        <v/>
      </c>
      <c r="D20" t="str">
        <f t="shared" si="1"/>
        <v>GAPP (Active)</v>
      </c>
      <c r="I20" t="s">
        <v>52</v>
      </c>
      <c r="J20" t="s">
        <v>99</v>
      </c>
    </row>
    <row r="21" spans="1:10" x14ac:dyDescent="0.25">
      <c r="A21" t="s">
        <v>117</v>
      </c>
      <c r="B21" t="str">
        <f>RIGHT(G15,LEN(G15)-SEARCH(": ",G15)-1)</f>
        <v>UCOP Employee NetID (O)</v>
      </c>
      <c r="C21" t="str">
        <f t="shared" si="0"/>
        <v/>
      </c>
      <c r="D21" t="str">
        <f t="shared" si="1"/>
        <v>EXCH (Active)</v>
      </c>
      <c r="I21" t="s">
        <v>53</v>
      </c>
      <c r="J21" t="s">
        <v>105</v>
      </c>
    </row>
    <row r="22" spans="1:10" x14ac:dyDescent="0.25">
      <c r="A22" t="s">
        <v>135</v>
      </c>
      <c r="B22" t="e">
        <f>RIGHT(G16,LEN(G16)-SEARCH(": ",G16)-1)</f>
        <v>#VALUE!</v>
      </c>
      <c r="C22" t="str">
        <f>IF(ISERROR(SEARCH(A24,H$25))=FALSE,LEFT(H$25,SEARCH("  ",H$25)-1)&amp;", ","")&amp;IF(ISERROR(SEARCH(A24,H$26))=FALSE,LEFT(H$26,SEARCH("  ",H$26)-1)&amp;", ","")&amp;IF(ISERROR(SEARCH(A24,H$27))=FALSE,LEFT(H$27,SEARCH("  ",H$27)-1)&amp;", ","")&amp;IF(ISERROR(SEARCH(A24,H$28))=FALSE,LEFT(H$28,SEARCH("  ",H$28)-1)&amp;", ","")&amp;IF(ISERROR(SEARCH(A24,H$29))=FALSE,LEFT(H$29,SEARCH("  ",H$29)-1)&amp;", ","")&amp;IF(ISERROR(SEARCH(A24,H$30))=FALSE,LEFT(H$30,SEARCH("  ",H$30)-1)&amp;", ","")&amp;IF(ISERROR(SEARCH(A24,H$31))=FALSE,LEFT(H$31,SEARCH("  ",H$31)-1)&amp;", ","")&amp;IF(ISERROR(SEARCH(A24,H$32))=FALSE,LEFT(H$32,SEARCH("  ",H$32)-1)&amp;", ","")&amp;IF(ISERROR(SEARCH(A24,H$33))=FALSE,LEFT(H$33,SEARCH("  ",H$33)-1)&amp;", ","")&amp;IF(ISERROR(SEARCH(A24,H$34))=FALSE,LEFT(H$34,SEARCH("  ",H$34)-1)&amp;", ","")&amp;IF(ISERROR(SEARCH(A24,H$35))=FALSE,LEFT(H$35,SEARCH("  ",H$35)-1)&amp;", ","")&amp;IF(ISERROR(SEARCH(A24,H$36))=FALSE,LEFT(H$36,SEARCH("  ",H$36)-1)&amp;", ","")&amp;IF(ISERROR(SEARCH(A24,H$37))=FALSE,LEFT(H$37,SEARCH("  ",H$37)-1)&amp;", ","")&amp;IF(ISERROR(SEARCH(A24,H$38))=FALSE,LEFT(H$38,SEARCH("  ",H$38)-1)&amp;", ","")&amp;IF(ISERROR(SEARCH(A24,H$39))=FALSE,LEFT(H$39,SEARCH("  ",H$39)-1)&amp;", ","")&amp;IF(ISERROR(SEARCH(A24,H$40))=FALSE,LEFT(H$40,SEARCH("  ",H$40)-1)&amp;", ","")</f>
        <v/>
      </c>
      <c r="D22" t="str">
        <f>IF(D14="","",D14&amp;", ")&amp;IF(D15="","",D15&amp;", ")&amp;IF(D16="","",D16&amp;", ")&amp;IF(D17="","",D17&amp;", ")&amp;IF(D18="","",D18&amp;", ")&amp;IF(D19="","",D19&amp;", ")&amp;IF(D20="","",D20&amp;", ")&amp;IF(D21="","",D21&amp;", ")&amp;IF(D25="","",D25&amp;", ")&amp;IF(D26="","",D26&amp;", ")&amp;IF(D27="","",D27&amp;", ")&amp;IF(D28="","",D28&amp;", ")&amp;IF(D29="","",D29&amp;", ")&amp;IF(D30="","",D30&amp;", ")&amp;IF(D31="","",D31&amp;", ")&amp;IF(D32="","",D32&amp;", ")</f>
        <v xml:space="preserve">IDUO (Active), ISUN (Active), IMOT (Active), IKRB (Active), ILAB (Active), IMAD (Active), GAPP (Active), EXCH (Active), IDCA (Active), PRXY (Active), </v>
      </c>
      <c r="H22" t="s">
        <v>10</v>
      </c>
      <c r="J22" t="s">
        <v>10</v>
      </c>
    </row>
    <row r="23" spans="1:10" x14ac:dyDescent="0.25">
      <c r="A23" t="s">
        <v>136</v>
      </c>
      <c r="B23" t="str">
        <f>RIGHT(G17,LEN(G17)-SEARCH(": ",G17)-1)</f>
        <v>duque</v>
      </c>
      <c r="C23" t="str">
        <f>IF(ISERROR(SEARCH(A25,H$25))=FALSE,LEFT(H$25,SEARCH("  ",H$25)-1)&amp;", ","")&amp;IF(ISERROR(SEARCH(A25,H$26))=FALSE,LEFT(H$26,SEARCH("  ",H$26)-1)&amp;", ","")&amp;IF(ISERROR(SEARCH(A25,H$27))=FALSE,LEFT(H$27,SEARCH("  ",H$27)-1)&amp;", ","")&amp;IF(ISERROR(SEARCH(A25,H$28))=FALSE,LEFT(H$28,SEARCH("  ",H$28)-1)&amp;", ","")&amp;IF(ISERROR(SEARCH(A25,H$29))=FALSE,LEFT(H$29,SEARCH("  ",H$29)-1)&amp;", ","")&amp;IF(ISERROR(SEARCH(A25,H$30))=FALSE,LEFT(H$30,SEARCH("  ",H$30)-1)&amp;", ","")&amp;IF(ISERROR(SEARCH(A25,H$31))=FALSE,LEFT(H$31,SEARCH("  ",H$31)-1)&amp;", ","")&amp;IF(ISERROR(SEARCH(A25,H$32))=FALSE,LEFT(H$32,SEARCH("  ",H$32)-1)&amp;", ","")&amp;IF(ISERROR(SEARCH(A25,H$33))=FALSE,LEFT(H$33,SEARCH("  ",H$33)-1)&amp;", ","")&amp;IF(ISERROR(SEARCH(A25,H$34))=FALSE,LEFT(H$34,SEARCH("  ",H$34)-1)&amp;", ","")&amp;IF(ISERROR(SEARCH(A25,H$35))=FALSE,LEFT(H$35,SEARCH("  ",H$35)-1)&amp;", ","")&amp;IF(ISERROR(SEARCH(A25,H$36))=FALSE,LEFT(H$36,SEARCH("  ",H$36)-1)&amp;", ","")&amp;IF(ISERROR(SEARCH(A25,H$37))=FALSE,LEFT(H$37,SEARCH("  ",H$37)-1)&amp;", ","")&amp;IF(ISERROR(SEARCH(A25,H$38))=FALSE,LEFT(H$38,SEARCH("  ",H$38)-1)&amp;", ","")&amp;IF(ISERROR(SEARCH(A25,H$39))=FALSE,LEFT(H$39,SEARCH("  ",H$39)-1)&amp;", ","")&amp;IF(ISERROR(SEARCH(A25,H$40))=FALSE,LEFT(H$40,SEARCH("  ",H$40)-1)&amp;", ","")</f>
        <v/>
      </c>
      <c r="E23" t="s">
        <v>25</v>
      </c>
      <c r="F23" t="s">
        <v>25</v>
      </c>
      <c r="G23" t="s">
        <v>25</v>
      </c>
      <c r="H23" t="s">
        <v>25</v>
      </c>
      <c r="I23" t="s">
        <v>54</v>
      </c>
      <c r="J23" t="s">
        <v>54</v>
      </c>
    </row>
    <row r="24" spans="1:10" x14ac:dyDescent="0.25">
      <c r="A24" t="s">
        <v>145</v>
      </c>
      <c r="B24" t="str">
        <f>IF(ISERROR(SEARCH(A24,H$6))=FALSE,LEFT(H$6,SEARCH("  ",H$6)-1)&amp;", ","")&amp;IF(ISERROR(SEARCH(A24,H$7))=FALSE,LEFT(H$7,SEARCH("  ",H$7)-1)&amp;", ","")&amp;IF(ISERROR(SEARCH(A24,H$8))=FALSE,LEFT(H$8,SEARCH("  ",H$8)-1)&amp;", ","")&amp;IF(ISERROR(SEARCH(A24,H$9))=FALSE,LEFT(H$9,SEARCH("  ",H$9)-1)&amp;", ","")&amp;IF(ISERROR(SEARCH(A24,H$10))=FALSE,LEFT(H$10,SEARCH("  ",H$10)-1)&amp;", ","")&amp;IF(ISERROR(SEARCH(A24,H$11))=FALSE,LEFT(H$11,SEARCH("  ",H$11)-1)&amp;", ","")&amp;IF(ISERROR(SEARCH(A24,H$12))=FALSE,LEFT(H$12,SEARCH("  ",H$12)-1)&amp;", ","")&amp;IF(ISERROR(SEARCH(A24,H$13))=FALSE,LEFT(H$13,SEARCH("  ",H$13)-1)&amp;", ","")&amp;IF(ISERROR(SEARCH(A24,H$14))=FALSE,LEFT(H$14,SEARCH("  ",H$14)-1)&amp;", ","")&amp;IF(ISERROR(SEARCH(A24,H$15))=FALSE,LEFT(H$15,SEARCH("  ",H$15)-1)&amp;", ","")&amp;IF(ISERROR(SEARCH(A24,H$16))=FALSE,LEFT(H$16,SEARCH("  ",H$16)-1)&amp;", ","")&amp;IF(ISERROR(SEARCH(A24,H$17))=FALSE,LEFT(H$17,SEARCH("  ",H$17)-1)&amp;", ","")&amp;IF(ISERROR(SEARCH(A24,H$18))=FALSE,LEFT(H$18,SEARCH("  ",H$18)-1)&amp;", ","")&amp;IF(ISERROR(SEARCH(A24,H$19))=FALSE,LEFT(H$19,SEARCH("  ",H$19)-1)&amp;", ","")&amp;IF(ISERROR(SEARCH(A24,H$20))=FALSE,LEFT(H$20,SEARCH("  ",H$20)-1)&amp;", ","")&amp;IF(ISERROR(SEARCH(A24,H$21))=FALSE,LEFT(H$21,SEARCH("  ",H$21)-1)&amp;", ","")&amp;C22</f>
        <v/>
      </c>
      <c r="C24" t="str">
        <f>IF(ISERROR(SEARCH(A26,H$25))=FALSE,LEFT(H$25,SEARCH("  ",H$25)-1)&amp;", ","")&amp;IF(ISERROR(SEARCH(A26,H$26))=FALSE,LEFT(H$26,SEARCH("  ",H$26)-1)&amp;", ","")&amp;IF(ISERROR(SEARCH(A26,H$27))=FALSE,LEFT(H$27,SEARCH("  ",H$27)-1)&amp;", ","")&amp;IF(ISERROR(SEARCH(A26,H$28))=FALSE,LEFT(H$28,SEARCH("  ",H$28)-1)&amp;", ","")&amp;IF(ISERROR(SEARCH(A26,H$29))=FALSE,LEFT(H$29,SEARCH("  ",H$29)-1)&amp;", ","")&amp;IF(ISERROR(SEARCH(A26,H$30))=FALSE,LEFT(H$30,SEARCH("  ",H$30)-1)&amp;", ","")&amp;IF(ISERROR(SEARCH(A26,H$31))=FALSE,LEFT(H$31,SEARCH("  ",H$31)-1)&amp;", ","")&amp;IF(ISERROR(SEARCH(A26,H$32))=FALSE,LEFT(H$32,SEARCH("  ",H$32)-1)&amp;", ","")&amp;IF(ISERROR(SEARCH(A26,H$33))=FALSE,LEFT(H$33,SEARCH("  ",H$33)-1)&amp;", ","")&amp;IF(ISERROR(SEARCH(A26,H$34))=FALSE,LEFT(H$34,SEARCH("  ",H$34)-1)&amp;", ","")&amp;IF(ISERROR(SEARCH(A26,H$35))=FALSE,LEFT(H$35,SEARCH("  ",H$35)-1)&amp;", ","")&amp;IF(ISERROR(SEARCH(A26,H$36))=FALSE,LEFT(H$36,SEARCH("  ",H$36)-1)&amp;", ","")&amp;IF(ISERROR(SEARCH(A26,H$37))=FALSE,LEFT(H$37,SEARCH("  ",H$37)-1)&amp;", ","")&amp;IF(ISERROR(SEARCH(A26,H$38))=FALSE,LEFT(H$38,SEARCH("  ",H$38)-1)&amp;", ","")&amp;IF(ISERROR(SEARCH(A26,H$39))=FALSE,LEFT(H$39,SEARCH("  ",H$39)-1)&amp;", ","")&amp;IF(ISERROR(SEARCH(A26,H$40))=FALSE,LEFT(H$40,SEARCH("  ",H$40)-1)&amp;", ","")</f>
        <v/>
      </c>
      <c r="E24" t="s">
        <v>10</v>
      </c>
      <c r="F24" t="s">
        <v>10</v>
      </c>
      <c r="G24" t="s">
        <v>10</v>
      </c>
      <c r="H24" t="s">
        <v>10</v>
      </c>
      <c r="I24" t="s">
        <v>10</v>
      </c>
      <c r="J24" t="s">
        <v>10</v>
      </c>
    </row>
    <row r="25" spans="1:10" x14ac:dyDescent="0.25">
      <c r="A25" t="s">
        <v>143</v>
      </c>
      <c r="B25" t="str">
        <f>IF(ISERROR(SEARCH(A25,H$6))=FALSE,LEFT(H$6,SEARCH("  ",H$6)-1)&amp;", ","")&amp;IF(ISERROR(SEARCH(A25,H$7))=FALSE,LEFT(H$7,SEARCH("  ",H$7)-1)&amp;", ","")&amp;IF(ISERROR(SEARCH(A25,H$8))=FALSE,LEFT(H$8,SEARCH("  ",H$8)-1)&amp;", ","")&amp;IF(ISERROR(SEARCH(A25,H$9))=FALSE,LEFT(H$9,SEARCH("  ",H$9)-1)&amp;", ","")&amp;IF(ISERROR(SEARCH(A25,H$10))=FALSE,LEFT(H$10,SEARCH("  ",H$10)-1)&amp;", ","")&amp;IF(ISERROR(SEARCH(A25,H$11))=FALSE,LEFT(H$11,SEARCH("  ",H$11)-1)&amp;", ","")&amp;IF(ISERROR(SEARCH(A25,H$12))=FALSE,LEFT(H$12,SEARCH("  ",H$12)-1)&amp;", ","")&amp;IF(ISERROR(SEARCH(A25,H$13))=FALSE,LEFT(H$13,SEARCH("  ",H$13)-1)&amp;", ","")&amp;IF(ISERROR(SEARCH(A25,H$14))=FALSE,LEFT(H$14,SEARCH("  ",H$14)-1)&amp;", ","")&amp;IF(ISERROR(SEARCH(A25,H$15))=FALSE,LEFT(H$15,SEARCH("  ",H$15)-1)&amp;", ","")&amp;IF(ISERROR(SEARCH(A25,H$16))=FALSE,LEFT(H$16,SEARCH("  ",H$16)-1)&amp;", ","")&amp;IF(ISERROR(SEARCH(A25,H$17))=FALSE,LEFT(H$17,SEARCH("  ",H$17)-1)&amp;", ","")&amp;IF(ISERROR(SEARCH(A25,H$18))=FALSE,LEFT(H$18,SEARCH("  ",H$18)-1)&amp;", ","")&amp;IF(ISERROR(SEARCH(A25,H$19))=FALSE,LEFT(H$19,SEARCH("  ",H$19)-1)&amp;", ","")&amp;IF(ISERROR(SEARCH(A25,H$20))=FALSE,LEFT(H$20,SEARCH("  ",H$20)-1)&amp;", ","")&amp;IF(ISERROR(SEARCH(A25,H$21))=FALSE,LEFT(H$21,SEARCH("  ",H$21)-1)&amp;", ","")&amp;C23</f>
        <v xml:space="preserve">eduque, </v>
      </c>
      <c r="C25" t="str">
        <f>IF(ISERROR(SEARCH("LoginID",H25)),"",LEFT(H25,SEARCH(" ",H25)-1)&amp;RIGHT(H25,3))</f>
        <v/>
      </c>
      <c r="D25" t="str">
        <f t="shared" ref="D25:D32" si="2">IF(LEFT(RIGHT(LEFT(I25,5),4)&amp;" ("&amp;RIGHT(LEFT(I25,SEARCH("STATUS",$I$13)+5),6)&amp;")",1)=" ","",RIGHT(LEFT(I25,5),4)&amp;" ("&amp;RIGHT(LEFT(I25,SEARCH("STATUS",$I$13)+5),6)&amp;")")</f>
        <v>IDCA (Active)</v>
      </c>
      <c r="I25" t="s">
        <v>179</v>
      </c>
      <c r="J25" t="s">
        <v>186</v>
      </c>
    </row>
    <row r="26" spans="1:10" x14ac:dyDescent="0.25">
      <c r="A26" t="s">
        <v>144</v>
      </c>
      <c r="B26" t="str">
        <f>IF(ISERROR(SEARCH(A26,H$6))=FALSE,LEFT(H$6,SEARCH("  ",H$6)-1)&amp;", ","")&amp;IF(ISERROR(SEARCH(A26,H$7))=FALSE,LEFT(H$7,SEARCH("  ",H$7)-1)&amp;", ","")&amp;IF(ISERROR(SEARCH(A26,H$8))=FALSE,LEFT(H$8,SEARCH("  ",H$8)-1)&amp;", ","")&amp;IF(ISERROR(SEARCH(A26,H$9))=FALSE,LEFT(H$9,SEARCH("  ",H$9)-1)&amp;", ","")&amp;IF(ISERROR(SEARCH(A26,H$10))=FALSE,LEFT(H$10,SEARCH("  ",H$10)-1)&amp;", ","")&amp;IF(ISERROR(SEARCH(A26,H$11))=FALSE,LEFT(H$11,SEARCH("  ",H$11)-1)&amp;", ","")&amp;IF(ISERROR(SEARCH(A26,H$12))=FALSE,LEFT(H$12,SEARCH("  ",H$12)-1)&amp;", ","")&amp;IF(ISERROR(SEARCH(A26,H$13))=FALSE,LEFT(H$13,SEARCH("  ",H$13)-1)&amp;", ","")&amp;IF(ISERROR(SEARCH(A26,H$14))=FALSE,LEFT(H$14,SEARCH("  ",H$14)-1)&amp;", ","")&amp;IF(ISERROR(SEARCH(A26,H$15))=FALSE,LEFT(H$15,SEARCH("  ",H$15)-1)&amp;", ","")&amp;IF(ISERROR(SEARCH(A26,H$16))=FALSE,LEFT(H$16,SEARCH("  ",H$16)-1)&amp;", ","")&amp;IF(ISERROR(SEARCH(A26,H$17))=FALSE,LEFT(H$17,SEARCH("  ",H$17)-1)&amp;", ","")&amp;IF(ISERROR(SEARCH(A26,H$18))=FALSE,LEFT(H$18,SEARCH("  ",H$18)-1)&amp;", ","")&amp;IF(ISERROR(SEARCH(A26,H$19))=FALSE,LEFT(H$19,SEARCH("  ",H$19)-1)&amp;", ","")&amp;IF(ISERROR(SEARCH(A26,H$20))=FALSE,LEFT(H$20,SEARCH("  ",H$20)-1)&amp;", ","")&amp;IF(ISERROR(SEARCH(A26,H$21))=FALSE,LEFT(H$21,SEARCH("  ",H$21)-1)&amp;", ","")&amp;C24</f>
        <v xml:space="preserve">eduque, </v>
      </c>
      <c r="C26" t="str">
        <f>IF(ISERROR(SEARCH("LoginID",H26)),"",LEFT(H26,SEARCH(" ",H26)-1)&amp;RIGHT(H26,3))</f>
        <v/>
      </c>
      <c r="D26" t="str">
        <f t="shared" si="2"/>
        <v>PRXY (Active)</v>
      </c>
      <c r="I26" t="s">
        <v>180</v>
      </c>
      <c r="J26" t="s">
        <v>99</v>
      </c>
    </row>
    <row r="27" spans="1:10" x14ac:dyDescent="0.25">
      <c r="A27" t="s">
        <v>142</v>
      </c>
      <c r="B27" t="str">
        <f>IF(OR(C6="",RIGHT(C6,3)="(D)"),"",LEFT(C6,LEN(C6)-3))&amp;IF(OR(C7="",RIGHT(C7,3)="(D)"),"",LEFT(C7,LEN(C7)-3))&amp;IF(OR(C8="",RIGHT(C8,3)="(D)"),"",LEFT(C8,LEN(C8)-3))&amp;IF(OR(C9="",RIGHT(C9,3)="(D)"),"",LEFT(C9,LEN(C9)-3))&amp;IF(OR(C10="",RIGHT(C10,3)="(D)"),"",LEFT(C10,LEN(C10)-3))&amp;IF(OR(C11="",RIGHT(C11,3)="(D)"),"",LEFT(C11,LEN(C11)-3))&amp;IF(OR(C12="",RIGHT(C12,3)="(D)"),"",LEFT(C12,LEN(C12)-3))&amp;IF(OR(C13="",RIGHT(C13,3)="(D)"),"",LEFT(C13,LEN(C13)-3))&amp;IF(OR(C14="",RIGHT(C14,3)="(D)"),"",LEFT(C14,LEN(C14)-3))&amp;IF(OR(C15="",RIGHT(C15,3)="(D)"),"",LEFT(C15,LEN(C15)-3))&amp;IF(OR(C16="",RIGHT(C16,3)="(D)"),"",LEFT(C16,LEN(C16)-3))&amp;IF(OR(C17="",RIGHT(C17,3)="(D)"),"",LEFT(C17,LEN(C17)-3))&amp;IF(OR(C18="",RIGHT(C18,3)="(D)"),"",LEFT(C18,LEN(C18)-3))&amp;IF(OR(C19="",RIGHT(C19,3)="(D)"),"",LEFT(C19,LEN(C19)-3))&amp;IF(OR(C20="",RIGHT(C20,3)="(D)"),"",LEFT(C20,LEN(C20)-3))&amp;IF(OR(C21="",RIGHT(C21,3)="(D)"),"",LEFT(C21,LEN(C21)-3))&amp;IF(OR(C25="",RIGHT(C25,3)="(D)"),"",LEFT(C25,LEN(C25)-3))&amp;IF(OR(C26="",RIGHT(C26,3)="(D)"),"",LEFT(C26,LEN(C26)-3))&amp;IF(OR(C27="",RIGHT(C27,3)="(D)"),"",LEFT(C27,LEN(C27)-3))&amp;IF(OR(C28="",RIGHT(C28,3)="(D)"),"",LEFT(C28,LEN(C28)-3))&amp;IF(OR(C29="",RIGHT(C29,3)="(D)"),"",LEFT(C29,LEN(C29)-3))&amp;IF(OR(C30="",RIGHT(C30,3)="(D)"),"",LEFT(C30,LEN(C30)-3))&amp;IF(OR(C31="",RIGHT(C31,3)="(D)"),"",LEFT(C31,LEN(C31)-3))&amp;IF(OR(C32="",RIGHT(C32,3)="(D)"),"",LEFT(C32,LEN(C32)-3))&amp;IF(OR(C33="",RIGHT(C33,3)="(D)"),"",LEFT(C33,LEN(C33)-3))&amp;IF(OR(C34="",RIGHT(C34,3)="(D)"),"",LEFT(C34,LEN(C34)-3))&amp;IF(OR(C35="",RIGHT(C35,3)="(D)"),"",LEFT(C35,LEN(C35)-3))&amp;IF(OR(C36="",RIGHT(C36,3)="(D)"),"",LEFT(C36,LEN(C36)-3))&amp;IF(OR(C37="",RIGHT(C37,3)="(D)"),"",LEFT(C37,LEN(C37)-3))&amp;IF(OR(C38="",RIGHT(C38,3)="(D)"),"",LEFT(C38,LEN(C38)-3))&amp;IF(OR(C39="",RIGHT(C39,3)="(D)"),"",LEFT(C39,LEN(C39)-3))&amp;IF(OR(C40="",RIGHT(C40,3)="(D)"),"",LEFT(C40,LEN(C40)-3))</f>
        <v>eduque</v>
      </c>
      <c r="C27" t="str">
        <f>IF(ISERROR(SEARCH("LoginID",H27)),"",LEFT(H27,SEARCH(" ",H27)-1)&amp;RIGHT(H27,3))</f>
        <v/>
      </c>
      <c r="D27" t="str">
        <f t="shared" si="2"/>
        <v/>
      </c>
      <c r="I27" t="s">
        <v>176</v>
      </c>
      <c r="J27" t="s">
        <v>187</v>
      </c>
    </row>
    <row r="28" spans="1:10" x14ac:dyDescent="0.25">
      <c r="A28" t="s">
        <v>150</v>
      </c>
      <c r="B28" t="str">
        <f>D22</f>
        <v xml:space="preserve">IDUO (Active), ISUN (Active), IMOT (Active), IKRB (Active), ILAB (Active), IMAD (Active), GAPP (Active), EXCH (Active), IDCA (Active), PRXY (Active), </v>
      </c>
      <c r="C28" t="str">
        <f t="shared" ref="C28:C40" si="3">IF(ISERROR(SEARCH("LoginID",H28)),"",LEFT(H28,SEARCH(" ",H28)-1)&amp;RIGHT(H28,3))</f>
        <v/>
      </c>
      <c r="D28" t="str">
        <f t="shared" si="2"/>
        <v/>
      </c>
      <c r="J28" t="s">
        <v>188</v>
      </c>
    </row>
    <row r="29" spans="1:10" x14ac:dyDescent="0.25">
      <c r="A29" t="s">
        <v>115</v>
      </c>
      <c r="B29" t="str">
        <f>RIGHT(E7,LEN(E7)-SEARCH(": ",E7)-1)</f>
        <v>01388797</v>
      </c>
      <c r="C29" t="str">
        <f t="shared" si="3"/>
        <v/>
      </c>
      <c r="D29" t="str">
        <f t="shared" si="2"/>
        <v/>
      </c>
      <c r="I29" t="s">
        <v>181</v>
      </c>
      <c r="J29" t="s">
        <v>99</v>
      </c>
    </row>
    <row r="30" spans="1:10" x14ac:dyDescent="0.25">
      <c r="A30" t="s">
        <v>116</v>
      </c>
      <c r="B30" t="str">
        <f>SUBSTITUTE(SUBSTITUTE(LEFT(E5,SEARCH("Status:",E5)-1),"Type: ","")," ","")</f>
        <v>Personal(P)</v>
      </c>
      <c r="C30" t="str">
        <f t="shared" si="3"/>
        <v/>
      </c>
      <c r="D30" t="str">
        <f t="shared" si="2"/>
        <v/>
      </c>
      <c r="I30" t="s">
        <v>177</v>
      </c>
      <c r="J30" t="s">
        <v>189</v>
      </c>
    </row>
    <row r="31" spans="1:10" x14ac:dyDescent="0.25">
      <c r="A31" t="s">
        <v>109</v>
      </c>
      <c r="B31" t="str">
        <f>SUBSTITUTE(LEFT(RIGHT(E5,LEN(E5)-SEARCH("Status: ",E5)-7),SEARCH(")",RIGHT(E5,LEN(E5)-SEARCH("Status: ",E5)+1)))," ","")</f>
        <v>Active(A)</v>
      </c>
      <c r="C31" t="str">
        <f t="shared" si="3"/>
        <v/>
      </c>
      <c r="D31" t="str">
        <f t="shared" si="2"/>
        <v/>
      </c>
      <c r="I31" t="s">
        <v>62</v>
      </c>
      <c r="J31" t="s">
        <v>190</v>
      </c>
    </row>
    <row r="32" spans="1:10" x14ac:dyDescent="0.25">
      <c r="A32" t="s">
        <v>158</v>
      </c>
      <c r="B32" t="str">
        <f>RIGHT(E8,LEN(E8)-SEARCH(": ",E8)-1)</f>
        <v>Earl H Duque</v>
      </c>
      <c r="C32" t="str">
        <f>IF(ISERROR(SEARCH("LoginID",H32)),"",LEFT(H32,SEARCH(" ",H32)-1)&amp;RIGHT(H32,3))</f>
        <v/>
      </c>
      <c r="D32" t="str">
        <f t="shared" si="2"/>
        <v/>
      </c>
      <c r="J32" t="s">
        <v>99</v>
      </c>
    </row>
    <row r="33" spans="1:10" x14ac:dyDescent="0.25">
      <c r="A33" t="s">
        <v>159</v>
      </c>
      <c r="B33" t="str">
        <f>RIGHT(E10,LEN(E10)-SEARCH(": ",E10)-1)</f>
        <v>Both (B)</v>
      </c>
      <c r="C33" t="str">
        <f t="shared" si="3"/>
        <v/>
      </c>
      <c r="J33" t="s">
        <v>191</v>
      </c>
    </row>
    <row r="34" spans="1:10" x14ac:dyDescent="0.25">
      <c r="A34" t="s">
        <v>163</v>
      </c>
      <c r="B34" t="str">
        <f>RIGHT(E11,LEN(E11)-SEARCH(": ",E11)-1)</f>
        <v>eduque</v>
      </c>
      <c r="C34" t="str">
        <f t="shared" si="3"/>
        <v/>
      </c>
      <c r="I34" t="s">
        <v>54</v>
      </c>
      <c r="J34" t="s">
        <v>190</v>
      </c>
    </row>
    <row r="35" spans="1:10" x14ac:dyDescent="0.25">
      <c r="A35" t="s">
        <v>164</v>
      </c>
      <c r="B35" t="str">
        <f>RIGHT(E12,LEN(E12)-SEARCH(": ",E12)-1)</f>
        <v>ad3.ucdavis.edu</v>
      </c>
      <c r="C35" t="str">
        <f>IF(ISERROR(SEARCH("LoginID",H35)),"",LEFT(H35,SEARCH(" ",H35)-1)&amp;RIGHT(H35,3))</f>
        <v/>
      </c>
      <c r="I35" t="s">
        <v>10</v>
      </c>
      <c r="J35" t="s">
        <v>99</v>
      </c>
    </row>
    <row r="36" spans="1:10" x14ac:dyDescent="0.25">
      <c r="A36" t="s">
        <v>127</v>
      </c>
      <c r="B36" t="e">
        <f>RIGHT(E18,LEN(E18)-SEARCH(": ",E18)-1)</f>
        <v>#VALUE!</v>
      </c>
      <c r="C36" t="str">
        <f t="shared" si="3"/>
        <v/>
      </c>
      <c r="J36" t="s">
        <v>192</v>
      </c>
    </row>
    <row r="37" spans="1:10" x14ac:dyDescent="0.25">
      <c r="A37" t="s">
        <v>126</v>
      </c>
      <c r="B37" t="e">
        <f>RIGHT(I10,LEN(I10)-SEARCH(": ",I10)-1)</f>
        <v>#VALUE!</v>
      </c>
      <c r="C37" t="str">
        <f t="shared" si="3"/>
        <v/>
      </c>
      <c r="J37" t="s">
        <v>193</v>
      </c>
    </row>
    <row r="38" spans="1:10" x14ac:dyDescent="0.25">
      <c r="A38" t="s">
        <v>127</v>
      </c>
      <c r="B38" t="e">
        <f>RIGHT(I11,LEN(I11)-SEARCH(": ",I11)-1)</f>
        <v>#VALUE!</v>
      </c>
      <c r="C38" t="str">
        <f t="shared" si="3"/>
        <v/>
      </c>
      <c r="J38">
        <v>1388797</v>
      </c>
    </row>
    <row r="39" spans="1:10" x14ac:dyDescent="0.25">
      <c r="A39" t="s">
        <v>143</v>
      </c>
      <c r="B39" t="str">
        <f>RIGHT(LEFT(E3,SEARCH("  ",E3)-1),LEN(LEFT(E3,SEARCH("  ",E3)-1))-SEARCH(": ",E3)-1)</f>
        <v>eduque</v>
      </c>
      <c r="C39" t="str">
        <f t="shared" si="3"/>
        <v/>
      </c>
      <c r="J39" t="s">
        <v>194</v>
      </c>
    </row>
    <row r="40" spans="1:10" x14ac:dyDescent="0.25">
      <c r="A40" t="s">
        <v>205</v>
      </c>
      <c r="B40" t="str">
        <f>RIGHT(J6,LEN(J6)-SEARCH(": ",J6)-1)</f>
        <v>19</v>
      </c>
      <c r="C40" t="str">
        <f t="shared" si="3"/>
        <v/>
      </c>
    </row>
    <row r="41" spans="1:10" x14ac:dyDescent="0.25">
      <c r="A41" t="s">
        <v>195</v>
      </c>
      <c r="B41" t="str">
        <f>LEFT(J7,16)</f>
        <v xml:space="preserve">28-AUG-17 08:22 </v>
      </c>
      <c r="C41" t="str">
        <f>RIGHT(J9,LEN(J9)-16)</f>
        <v>granted ISUN service</v>
      </c>
    </row>
    <row r="42" spans="1:10" x14ac:dyDescent="0.25">
      <c r="A42" t="s">
        <v>196</v>
      </c>
      <c r="B42" t="str">
        <f>LEFT(J10,16)</f>
        <v xml:space="preserve">27-AUG-17 09:10 </v>
      </c>
      <c r="C42" t="str">
        <f>RIGHT(J12,LEN(J12)-16)</f>
        <v>granted ISUN service access token</v>
      </c>
    </row>
    <row r="43" spans="1:10" x14ac:dyDescent="0.25">
      <c r="A43" t="s">
        <v>197</v>
      </c>
      <c r="B43" t="str">
        <f>LEFT(J13,16)</f>
        <v xml:space="preserve">27-AUG-17 09:10 </v>
      </c>
      <c r="C43" t="str">
        <f>RIGHT(J15,LEN(J15)-16)</f>
        <v>granted IDVX service access token</v>
      </c>
    </row>
    <row r="44" spans="1:10" x14ac:dyDescent="0.25">
      <c r="A44" t="s">
        <v>198</v>
      </c>
      <c r="B44" t="str">
        <f>LEFT(J16,16)</f>
        <v xml:space="preserve">27-AUG-17 09:10 </v>
      </c>
      <c r="C44" t="str">
        <f>RIGHT(J18,LEN(J18)-16)</f>
        <v>granted ICON service access token</v>
      </c>
    </row>
    <row r="45" spans="1:10" x14ac:dyDescent="0.25">
      <c r="A45" t="s">
        <v>199</v>
      </c>
      <c r="B45" t="str">
        <f>LEFT(J19,16)</f>
        <v xml:space="preserve">27-AUG-17 09:10 </v>
      </c>
      <c r="C45" t="str">
        <f>RIGHT(J21,LEN(J21)-16)</f>
        <v>granted UNIX service access token</v>
      </c>
    </row>
    <row r="46" spans="1:10" x14ac:dyDescent="0.25">
      <c r="A46" t="s">
        <v>200</v>
      </c>
      <c r="B46" t="str">
        <f>LEFT(J25,16)</f>
        <v xml:space="preserve">25-AUG-17 10:38 </v>
      </c>
      <c r="C46" t="str">
        <f>RIGHT(J27,LEN(J27)-16)</f>
        <v>changed password on IDCA (with kerberos)</v>
      </c>
    </row>
    <row r="47" spans="1:10" x14ac:dyDescent="0.25">
      <c r="A47" t="s">
        <v>201</v>
      </c>
      <c r="B47" t="str">
        <f>LEFT(J28,16)</f>
        <v xml:space="preserve">21-AUG-17 13:21 </v>
      </c>
      <c r="C47" t="str">
        <f>RIGHT(J30,LEN(J30)-16)</f>
        <v>granted IDUO service</v>
      </c>
    </row>
    <row r="48" spans="1:10" x14ac:dyDescent="0.25">
      <c r="A48" t="s">
        <v>202</v>
      </c>
      <c r="B48" t="str">
        <f>LEFT(J31,16)</f>
        <v xml:space="preserve">21-AUG-17 08:18 </v>
      </c>
      <c r="C48" t="str">
        <f>RIGHT(J33,LEN(J33)-16)</f>
        <v>granted service PRXY</v>
      </c>
    </row>
    <row r="49" spans="1:3" x14ac:dyDescent="0.25">
      <c r="A49" t="s">
        <v>203</v>
      </c>
      <c r="B49" t="str">
        <f>LEFT(J34,16)</f>
        <v xml:space="preserve">21-AUG-17 08:18 </v>
      </c>
      <c r="C49" t="str">
        <f>RIGHT(J36,LEN(J36)-16)</f>
        <v>granted service IDCA</v>
      </c>
    </row>
    <row r="50" spans="1:3" x14ac:dyDescent="0.25">
      <c r="A50" t="s">
        <v>204</v>
      </c>
      <c r="B50" t="str">
        <f>LEFT(J37,16)</f>
        <v xml:space="preserve">21-JUL-17 22:40 </v>
      </c>
      <c r="C50" t="str">
        <f>RIGHT(J39,LEN(J39)-16)</f>
        <v>WkInfo&lt;D Old:061419,none,none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D1" sqref="D1"/>
    </sheetView>
  </sheetViews>
  <sheetFormatPr defaultRowHeight="15" x14ac:dyDescent="0.25"/>
  <sheetData>
    <row r="1" spans="1:10" x14ac:dyDescent="0.25">
      <c r="A1" s="6" t="s">
        <v>0</v>
      </c>
      <c r="B1" s="6" t="s">
        <v>1</v>
      </c>
      <c r="C1" s="6" t="s">
        <v>2</v>
      </c>
      <c r="D1" s="6" t="s">
        <v>3</v>
      </c>
      <c r="E1" t="s">
        <v>4</v>
      </c>
      <c r="F1" t="s">
        <v>5</v>
      </c>
      <c r="G1" t="s">
        <v>6</v>
      </c>
      <c r="H1" s="6" t="s">
        <v>7</v>
      </c>
      <c r="I1" t="s">
        <v>8</v>
      </c>
      <c r="J1" t="s">
        <v>9</v>
      </c>
    </row>
    <row r="2" spans="1:10" x14ac:dyDescent="0.25">
      <c r="A2" t="s">
        <v>10</v>
      </c>
      <c r="B2" t="s">
        <v>10</v>
      </c>
      <c r="C2" t="s">
        <v>10</v>
      </c>
      <c r="D2" t="s">
        <v>10</v>
      </c>
      <c r="E2" t="s">
        <v>10</v>
      </c>
      <c r="F2" t="s">
        <v>10</v>
      </c>
      <c r="G2" t="s">
        <v>10</v>
      </c>
      <c r="H2" t="s">
        <v>10</v>
      </c>
      <c r="I2" t="s">
        <v>10</v>
      </c>
    </row>
    <row r="3" spans="1:10" x14ac:dyDescent="0.25">
      <c r="A3" t="s">
        <v>11</v>
      </c>
      <c r="B3" t="s">
        <v>26</v>
      </c>
      <c r="C3" t="s">
        <v>39</v>
      </c>
      <c r="D3" t="s">
        <v>55</v>
      </c>
      <c r="E3" t="s">
        <v>63</v>
      </c>
      <c r="F3" t="s">
        <v>68</v>
      </c>
      <c r="G3" t="s">
        <v>78</v>
      </c>
      <c r="H3" t="s">
        <v>78</v>
      </c>
      <c r="I3" t="s">
        <v>78</v>
      </c>
    </row>
    <row r="4" spans="1:10" x14ac:dyDescent="0.25">
      <c r="A4" t="s">
        <v>10</v>
      </c>
      <c r="B4" t="s">
        <v>10</v>
      </c>
      <c r="C4" t="s">
        <v>40</v>
      </c>
      <c r="D4" t="s">
        <v>10</v>
      </c>
      <c r="E4" t="s">
        <v>10</v>
      </c>
      <c r="F4" t="s">
        <v>10</v>
      </c>
      <c r="G4" t="s">
        <v>10</v>
      </c>
      <c r="H4" t="s">
        <v>10</v>
      </c>
      <c r="I4" t="s">
        <v>96</v>
      </c>
    </row>
    <row r="5" spans="1:10" x14ac:dyDescent="0.25">
      <c r="A5" t="s">
        <v>12</v>
      </c>
      <c r="C5" t="s">
        <v>10</v>
      </c>
      <c r="D5" t="s">
        <v>56</v>
      </c>
      <c r="E5" t="s">
        <v>64</v>
      </c>
      <c r="F5" t="s">
        <v>69</v>
      </c>
      <c r="G5" t="s">
        <v>79</v>
      </c>
      <c r="H5" t="s">
        <v>89</v>
      </c>
      <c r="I5" t="s">
        <v>10</v>
      </c>
    </row>
    <row r="6" spans="1:10" x14ac:dyDescent="0.25">
      <c r="A6" t="s">
        <v>13</v>
      </c>
      <c r="B6" t="s">
        <v>27</v>
      </c>
      <c r="C6" t="s">
        <v>41</v>
      </c>
      <c r="G6" t="s">
        <v>80</v>
      </c>
      <c r="H6" t="s">
        <v>90</v>
      </c>
      <c r="I6" t="s">
        <v>97</v>
      </c>
    </row>
    <row r="7" spans="1:10" x14ac:dyDescent="0.25">
      <c r="A7" t="s">
        <v>14</v>
      </c>
      <c r="C7" t="s">
        <v>42</v>
      </c>
      <c r="D7" t="s">
        <v>42</v>
      </c>
      <c r="E7" t="s">
        <v>42</v>
      </c>
      <c r="F7" t="s">
        <v>70</v>
      </c>
      <c r="G7" t="s">
        <v>14</v>
      </c>
      <c r="H7" t="s">
        <v>91</v>
      </c>
      <c r="I7" t="s">
        <v>98</v>
      </c>
    </row>
    <row r="8" spans="1:10" x14ac:dyDescent="0.25">
      <c r="A8" t="s">
        <v>15</v>
      </c>
      <c r="B8" t="s">
        <v>28</v>
      </c>
      <c r="C8" t="s">
        <v>43</v>
      </c>
      <c r="D8" t="s">
        <v>43</v>
      </c>
      <c r="E8" t="s">
        <v>43</v>
      </c>
      <c r="F8" t="s">
        <v>71</v>
      </c>
      <c r="G8" t="s">
        <v>81</v>
      </c>
      <c r="H8" t="s">
        <v>92</v>
      </c>
      <c r="I8" t="s">
        <v>99</v>
      </c>
    </row>
    <row r="9" spans="1:10" x14ac:dyDescent="0.25">
      <c r="A9" t="s">
        <v>16</v>
      </c>
      <c r="B9" t="s">
        <v>29</v>
      </c>
      <c r="G9" t="s">
        <v>82</v>
      </c>
      <c r="H9" t="s">
        <v>93</v>
      </c>
      <c r="I9" t="s">
        <v>100</v>
      </c>
    </row>
    <row r="10" spans="1:10" x14ac:dyDescent="0.25">
      <c r="B10" t="s">
        <v>30</v>
      </c>
      <c r="C10" t="s">
        <v>23</v>
      </c>
      <c r="D10" t="s">
        <v>57</v>
      </c>
      <c r="E10" t="s">
        <v>65</v>
      </c>
      <c r="F10" t="s">
        <v>72</v>
      </c>
      <c r="G10" t="s">
        <v>83</v>
      </c>
      <c r="H10" t="s">
        <v>94</v>
      </c>
      <c r="I10" t="s">
        <v>101</v>
      </c>
    </row>
    <row r="11" spans="1:10" x14ac:dyDescent="0.25">
      <c r="A11" t="s">
        <v>17</v>
      </c>
      <c r="B11" t="s">
        <v>31</v>
      </c>
      <c r="C11" t="s">
        <v>44</v>
      </c>
      <c r="D11" t="s">
        <v>58</v>
      </c>
      <c r="E11" t="s">
        <v>66</v>
      </c>
      <c r="F11" t="s">
        <v>73</v>
      </c>
      <c r="G11" t="s">
        <v>84</v>
      </c>
      <c r="H11" t="s">
        <v>95</v>
      </c>
      <c r="I11" t="s">
        <v>99</v>
      </c>
    </row>
    <row r="12" spans="1:10" x14ac:dyDescent="0.25">
      <c r="A12" t="s">
        <v>18</v>
      </c>
      <c r="B12" t="s">
        <v>32</v>
      </c>
      <c r="D12" t="s">
        <v>59</v>
      </c>
      <c r="E12" t="s">
        <v>67</v>
      </c>
      <c r="G12" t="s">
        <v>85</v>
      </c>
      <c r="H12" t="s">
        <v>95</v>
      </c>
      <c r="I12" t="s">
        <v>102</v>
      </c>
    </row>
    <row r="13" spans="1:10" x14ac:dyDescent="0.25">
      <c r="A13" t="s">
        <v>19</v>
      </c>
      <c r="B13" t="s">
        <v>33</v>
      </c>
      <c r="C13" t="s">
        <v>45</v>
      </c>
      <c r="F13" t="s">
        <v>74</v>
      </c>
      <c r="G13" t="s">
        <v>66</v>
      </c>
      <c r="H13" t="s">
        <v>95</v>
      </c>
      <c r="I13" t="s">
        <v>101</v>
      </c>
    </row>
    <row r="14" spans="1:10" x14ac:dyDescent="0.25">
      <c r="A14" t="s">
        <v>20</v>
      </c>
      <c r="C14" t="s">
        <v>46</v>
      </c>
      <c r="D14" t="s">
        <v>60</v>
      </c>
      <c r="F14" t="s">
        <v>75</v>
      </c>
      <c r="G14" t="s">
        <v>86</v>
      </c>
      <c r="H14" t="s">
        <v>95</v>
      </c>
      <c r="I14" t="s">
        <v>99</v>
      </c>
    </row>
    <row r="15" spans="1:10" x14ac:dyDescent="0.25">
      <c r="A15" t="s">
        <v>21</v>
      </c>
      <c r="B15" t="s">
        <v>34</v>
      </c>
      <c r="C15" t="s">
        <v>47</v>
      </c>
      <c r="D15" t="s">
        <v>61</v>
      </c>
      <c r="F15" t="s">
        <v>76</v>
      </c>
      <c r="G15" t="s">
        <v>87</v>
      </c>
      <c r="I15" t="s">
        <v>103</v>
      </c>
    </row>
    <row r="16" spans="1:10" x14ac:dyDescent="0.25">
      <c r="A16" t="s">
        <v>22</v>
      </c>
      <c r="B16" t="s">
        <v>35</v>
      </c>
      <c r="C16" t="s">
        <v>48</v>
      </c>
      <c r="D16" t="s">
        <v>62</v>
      </c>
      <c r="I16" t="s">
        <v>101</v>
      </c>
    </row>
    <row r="17" spans="1:9" x14ac:dyDescent="0.25">
      <c r="B17" t="s">
        <v>36</v>
      </c>
      <c r="C17" t="s">
        <v>49</v>
      </c>
      <c r="G17" t="s">
        <v>88</v>
      </c>
      <c r="I17" t="s">
        <v>99</v>
      </c>
    </row>
    <row r="18" spans="1:9" x14ac:dyDescent="0.25">
      <c r="A18" t="s">
        <v>23</v>
      </c>
      <c r="B18" t="s">
        <v>37</v>
      </c>
      <c r="C18" t="s">
        <v>50</v>
      </c>
      <c r="D18" t="s">
        <v>44</v>
      </c>
      <c r="I18" t="s">
        <v>104</v>
      </c>
    </row>
    <row r="19" spans="1:9" x14ac:dyDescent="0.25">
      <c r="A19" t="s">
        <v>24</v>
      </c>
      <c r="B19" t="s">
        <v>38</v>
      </c>
      <c r="C19" t="s">
        <v>51</v>
      </c>
      <c r="I19" t="s">
        <v>101</v>
      </c>
    </row>
    <row r="20" spans="1:9" x14ac:dyDescent="0.25">
      <c r="C20" t="s">
        <v>52</v>
      </c>
      <c r="I20" t="s">
        <v>99</v>
      </c>
    </row>
    <row r="21" spans="1:9" x14ac:dyDescent="0.25">
      <c r="C21" t="s">
        <v>53</v>
      </c>
      <c r="I21" t="s">
        <v>105</v>
      </c>
    </row>
    <row r="22" spans="1:9" x14ac:dyDescent="0.25">
      <c r="H22" t="s">
        <v>10</v>
      </c>
      <c r="I22" t="s">
        <v>10</v>
      </c>
    </row>
    <row r="23" spans="1:9" x14ac:dyDescent="0.25">
      <c r="A23" t="s">
        <v>25</v>
      </c>
      <c r="B23" t="s">
        <v>25</v>
      </c>
      <c r="C23" t="s">
        <v>54</v>
      </c>
      <c r="D23" t="s">
        <v>25</v>
      </c>
      <c r="E23" t="s">
        <v>25</v>
      </c>
      <c r="F23" t="s">
        <v>77</v>
      </c>
      <c r="G23" t="s">
        <v>25</v>
      </c>
      <c r="H23" t="s">
        <v>25</v>
      </c>
      <c r="I23" t="s">
        <v>54</v>
      </c>
    </row>
    <row r="24" spans="1:9" x14ac:dyDescent="0.25">
      <c r="A24" t="s">
        <v>10</v>
      </c>
      <c r="B24" t="s">
        <v>10</v>
      </c>
      <c r="C24" t="s">
        <v>10</v>
      </c>
      <c r="D24" t="s">
        <v>10</v>
      </c>
      <c r="E24" t="s">
        <v>10</v>
      </c>
      <c r="F24" t="s">
        <v>10</v>
      </c>
      <c r="G24" t="s">
        <v>10</v>
      </c>
      <c r="H24" t="s">
        <v>10</v>
      </c>
      <c r="I24" t="s">
        <v>10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Summary</vt:lpstr>
      <vt:lpstr>Last Search</vt:lpstr>
      <vt:lpstr>Screens</vt:lpstr>
      <vt:lpstr>Test Data</vt:lpstr>
    </vt:vector>
  </TitlesOfParts>
  <Company>University of California, Davis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Duque</dc:creator>
  <cp:lastModifiedBy>Earl Duque</cp:lastModifiedBy>
  <dcterms:created xsi:type="dcterms:W3CDTF">2017-08-30T19:46:07Z</dcterms:created>
  <dcterms:modified xsi:type="dcterms:W3CDTF">2017-09-13T23:00:27Z</dcterms:modified>
</cp:coreProperties>
</file>